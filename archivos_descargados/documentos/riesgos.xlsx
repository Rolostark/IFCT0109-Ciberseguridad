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triz de Riesgos" sheetId="1" state="visible" r:id="rId2"/>
    <sheet name="Analisis de Riesgos" sheetId="2" state="visible" r:id="rId3"/>
    <sheet name="Tablas Magerit" sheetId="3" state="visible" r:id="rId4"/>
    <sheet name="Clasificación de Activos" sheetId="4" state="visible" r:id="rId5"/>
    <sheet name="Valor Activos" sheetId="5" state="visible" r:id="rId6"/>
    <sheet name="Catálogo de Amenazas" sheetId="6" state="visible" r:id="rId7"/>
    <sheet name="Amenazas INCIBE" sheetId="7" state="hidden" r:id="rId8"/>
    <sheet name="Riesgos y Salvaguardas habit" sheetId="8" state="visible" r:id="rId9"/>
    <sheet name="Salvaguardas por Activos" sheetId="9" state="visible" r:id="rId1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tc={00C4009B-00DE-4E91-A7D5-00DC00DC0059}</author>
    <author>tc={002700FB-0087-461D-9257-00140099003E}</author>
    <author>tc={002C00E4-0061-4927-9E25-00D500920067}</author>
    <author>tc={009400E7-0078-403B-9B79-00780006005A}</author>
    <author>tc={00E000A9-0006-45A2-AEA6-006B00C30054}</author>
    <author>tc={00AC00E5-00A0-4845-A30E-00A500BE00A0}</author>
    <author>tc={00750085-0005-431B-AF47-002000BA0032}</author>
    <author>tc={00C900DA-0077-4775-8B51-009000FD000B}</author>
  </authors>
  <commentList>
    <comment ref="K1" authorId="0" xr:uid="{00C4009B-00DE-4E91-A7D5-00DC00DC0059}">
      <text>
        <r>
          <rPr>
            <b/>
            <sz val="9"/>
            <rFont val="Tahoma"/>
          </rPr>
          <t xml:space="preserve">Manuel Fernandez:</t>
        </r>
        <r>
          <rPr>
            <sz val="9"/>
            <rFont val="Tahoma"/>
          </rPr>
          <t xml:space="preserve">
Impacto Residual:
MB: Muy Bajo
B: Bajo
M: Medio
A: Alto
MA: Muy Alto
</t>
        </r>
      </text>
    </comment>
    <comment ref="L1" authorId="1" xr:uid="{002700FB-0087-461D-9257-00140099003E}">
      <text>
        <r>
          <rPr>
            <b/>
            <sz val="9"/>
            <rFont val="Tahoma"/>
          </rPr>
          <t xml:space="preserve">Manuel Fernandez:</t>
        </r>
        <r>
          <rPr>
            <sz val="9"/>
            <rFont val="Tahoma"/>
          </rPr>
          <t xml:space="preserve">
Riesgo Residual:
MB: Muy Bajo
B: Bajo
M: Medio
A: Alto
MA: Muy Alto
</t>
        </r>
      </text>
    </comment>
    <comment ref="C1" authorId="2" xr:uid="{002C00E4-0061-4927-9E25-00D500920067}">
      <text>
        <r>
          <rPr>
            <b/>
            <sz val="9"/>
            <rFont val="Tahoma"/>
          </rPr>
          <t xml:space="preserve">Manuel Fernandez:</t>
        </r>
        <r>
          <rPr>
            <sz val="9"/>
            <rFont val="Tahoma"/>
          </rPr>
          <t xml:space="preserve">
Valoración:
(MA) Muy Alto
(A) Alto
(M) Medio
(B) Bajo
(MB) Muy Bajo
</t>
        </r>
      </text>
    </comment>
    <comment ref="E1" authorId="3" xr:uid="{009400E7-0078-403B-9B79-00780006005A}">
      <text>
        <r>
          <rPr>
            <b/>
            <sz val="9"/>
            <rFont val="Tahoma"/>
          </rPr>
          <t xml:space="preserve">Manuel Fernandez:</t>
        </r>
        <r>
          <rPr>
            <sz val="9"/>
            <rFont val="Tahoma"/>
          </rPr>
          <t xml:space="preserve">
Degradación 
Completa
Parcial
Inexistente
</t>
        </r>
      </text>
    </comment>
    <comment ref="F1" authorId="4" xr:uid="{00E000A9-0006-45A2-AEA6-006B00C30054}">
      <text>
        <r>
          <rPr>
            <b/>
            <sz val="9"/>
            <rFont val="Tahoma"/>
          </rPr>
          <t xml:space="preserve">Manuel Fernandez:</t>
        </r>
        <r>
          <rPr>
            <sz val="9"/>
            <rFont val="Tahoma"/>
          </rPr>
          <t xml:space="preserve">
Impacto: 
MB: Muy Bajo
B: Bajo
M: Medio
A: Alto
MA: Muy Alto
</t>
        </r>
      </text>
    </comment>
    <comment ref="G1" authorId="5" xr:uid="{00AC00E5-00A0-4845-A30E-00A500BE00A0}">
      <text>
        <r>
          <rPr>
            <b/>
            <sz val="9"/>
            <rFont val="Tahoma"/>
          </rPr>
          <t xml:space="preserve">Manuel Fernandez:</t>
        </r>
        <r>
          <rPr>
            <sz val="9"/>
            <rFont val="Tahoma"/>
          </rPr>
          <t xml:space="preserve">
MF: Muy Frecuente
F: Frecuente
N: Normal
PF: Poco Frecuente
</t>
        </r>
      </text>
    </comment>
    <comment ref="H1" authorId="6" xr:uid="{00750085-0005-431B-AF47-002000BA0032}">
      <text>
        <r>
          <rPr>
            <b/>
            <sz val="9"/>
            <rFont val="Tahoma"/>
          </rPr>
          <t xml:space="preserve">Manuel Fernandez:</t>
        </r>
        <r>
          <rPr>
            <sz val="9"/>
            <rFont val="Tahoma"/>
          </rPr>
          <t xml:space="preserve">
Riesgo:
MB: Muy Bajo
B: Bajo
M: Medio
A: Alto
MA: Muy Alto
</t>
        </r>
      </text>
    </comment>
    <comment ref="I1" authorId="7" xr:uid="{00C900DA-0077-4775-8B51-009000FD000B}">
      <text>
        <r>
          <rPr>
            <b/>
            <sz val="9"/>
            <rFont val="Tahoma"/>
          </rPr>
          <t xml:space="preserve">Manuel FR:</t>
        </r>
        <r>
          <rPr>
            <sz val="9"/>
            <rFont val="Tahoma"/>
          </rPr>
          <t xml:space="preserve">
Manuel Fernández:
Asignar códigos  a los riesgos (R1, R2, R3 …)
</t>
        </r>
      </text>
    </comment>
  </commentList>
</comments>
</file>

<file path=xl/sharedStrings.xml><?xml version="1.0" encoding="utf-8"?>
<sst xmlns="http://schemas.openxmlformats.org/spreadsheetml/2006/main" count="300" uniqueCount="300">
  <si>
    <t>RIESGO</t>
  </si>
  <si>
    <t>FRECUENCIA</t>
  </si>
  <si>
    <t xml:space="preserve">Poco Frec.</t>
  </si>
  <si>
    <t>Normal</t>
  </si>
  <si>
    <t>Frec</t>
  </si>
  <si>
    <t xml:space="preserve">Muy Frec.</t>
  </si>
  <si>
    <t>IMPACTO</t>
  </si>
  <si>
    <t xml:space="preserve">Muy alto</t>
  </si>
  <si>
    <t>Alto</t>
  </si>
  <si>
    <t>Medio</t>
  </si>
  <si>
    <t>Bajo</t>
  </si>
  <si>
    <t xml:space="preserve">Muy Bajo</t>
  </si>
  <si>
    <t xml:space="preserve">Listado de Riesgos</t>
  </si>
  <si>
    <t>MB</t>
  </si>
  <si>
    <t xml:space="preserve">Zona de riesgo muy baja: Asumir el riesgo. Aceptar el riesgo</t>
  </si>
  <si>
    <t>Nº</t>
  </si>
  <si>
    <t>Descripción</t>
  </si>
  <si>
    <t>Impacto</t>
  </si>
  <si>
    <t>Riesgo</t>
  </si>
  <si>
    <t>B</t>
  </si>
  <si>
    <t xml:space="preserve">Zona de riesgo  baja: Asumir el riesgo. Aceptar el riesgo</t>
  </si>
  <si>
    <t>R1</t>
  </si>
  <si>
    <t>M</t>
  </si>
  <si>
    <t xml:space="preserve">Zona de riesgo Moderada: Asumir el Riesgo. Reducir el riesgo</t>
  </si>
  <si>
    <t>R2</t>
  </si>
  <si>
    <t>A</t>
  </si>
  <si>
    <t xml:space="preserve">Zona de riesgo Alta: Reducir el riesgo. Evitar, compartir o transferir</t>
  </si>
  <si>
    <t>R3</t>
  </si>
  <si>
    <t>MA</t>
  </si>
  <si>
    <t xml:space="preserve">Zona de riesgo Muy Alta: Reducir el riesgo. Evitar, compartir o transferir.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</si>
  <si>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</si>
  <si>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</si>
  <si>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</si>
  <si>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</si>
  <si>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</si>
  <si>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</si>
  <si>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</si>
  <si>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</si>
  <si>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</si>
  <si>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</si>
  <si>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</si>
  <si>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</si>
  <si>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</si>
  <si>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</si>
  <si>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</si>
  <si>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</si>
  <si>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</si>
  <si>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Activo</t>
  </si>
  <si>
    <t xml:space="preserve">Tipo de Activo</t>
  </si>
  <si>
    <t xml:space="preserve">Valoración de Activo</t>
  </si>
  <si>
    <t>Amenaza</t>
  </si>
  <si>
    <t>Degradación</t>
  </si>
  <si>
    <t>Frecuencia</t>
  </si>
  <si>
    <t xml:space="preserve">Matriz Riesgo (Nº)</t>
  </si>
  <si>
    <t>Contramedidas</t>
  </si>
  <si>
    <t xml:space="preserve">Impacto Residual</t>
  </si>
  <si>
    <t xml:space="preserve">Riesgo Residual</t>
  </si>
  <si>
    <t xml:space="preserve">Clasificación de activos según Magerit</t>
  </si>
  <si>
    <t xml:space="preserve">CAPA 1: ENTORNO</t>
  </si>
  <si>
    <t>L</t>
  </si>
  <si>
    <t xml:space="preserve">Instalaciones donde residen los equipos y redes</t>
  </si>
  <si>
    <t>P</t>
  </si>
  <si>
    <t>Personas</t>
  </si>
  <si>
    <t xml:space="preserve">CAPA 2: Sistema de Información</t>
  </si>
  <si>
    <t>COM</t>
  </si>
  <si>
    <t xml:space="preserve">Redes de comunicaciones</t>
  </si>
  <si>
    <t>AUX</t>
  </si>
  <si>
    <t xml:space="preserve">Equipos auxiliares que complementan a los equipos</t>
  </si>
  <si>
    <t>SI</t>
  </si>
  <si>
    <t xml:space="preserve">Soportes de almacenamiento que almacenan datos</t>
  </si>
  <si>
    <t>HW</t>
  </si>
  <si>
    <t xml:space="preserve">Equipos informáticos que ejecutan las aplicaciones y entregan los servicios y los datos</t>
  </si>
  <si>
    <t>SW</t>
  </si>
  <si>
    <t xml:space="preserve">Aplicaciones que manejan los datos</t>
  </si>
  <si>
    <t xml:space="preserve">CAPA 3: Información</t>
  </si>
  <si>
    <t>D</t>
  </si>
  <si>
    <t xml:space="preserve">Datos o información</t>
  </si>
  <si>
    <t>K</t>
  </si>
  <si>
    <t xml:space="preserve">Claves criptográficas</t>
  </si>
  <si>
    <t xml:space="preserve">CAPA 4: Funciones de la organización</t>
  </si>
  <si>
    <t>S</t>
  </si>
  <si>
    <t xml:space="preserve">Servicios que se prestan gracias a los datos</t>
  </si>
  <si>
    <t>Activos</t>
  </si>
  <si>
    <t>Dimensión</t>
  </si>
  <si>
    <t>Valoración</t>
  </si>
  <si>
    <t>Resultado</t>
  </si>
  <si>
    <t xml:space="preserve">Coste de personal cualificado</t>
  </si>
  <si>
    <t>Despreciable</t>
  </si>
  <si>
    <t xml:space="preserve">Ingresos Perdidos</t>
  </si>
  <si>
    <t xml:space="preserve">Coste de adquisición nuevo activo</t>
  </si>
  <si>
    <t xml:space="preserve">Pérdida confianza clientes y proveedores</t>
  </si>
  <si>
    <t xml:space="preserve">Posibles infracciones y sanciones</t>
  </si>
  <si>
    <t xml:space="preserve">Daños a otros activos</t>
  </si>
  <si>
    <t xml:space="preserve">Daños ambientales</t>
  </si>
  <si>
    <t xml:space="preserve">Daños a otras personas</t>
  </si>
  <si>
    <t xml:space="preserve">Daños sobre Confidencialidad</t>
  </si>
  <si>
    <t>1-2</t>
  </si>
  <si>
    <t xml:space="preserve">Daños sobre Integridad</t>
  </si>
  <si>
    <t>3-5</t>
  </si>
  <si>
    <t xml:space="preserve">Daños sobre Disponibilidad</t>
  </si>
  <si>
    <t>6-8</t>
  </si>
  <si>
    <t xml:space="preserve">VALOR ACTIVO</t>
  </si>
  <si>
    <t>9</t>
  </si>
  <si>
    <t>10</t>
  </si>
  <si>
    <t xml:space="preserve">Dimensión: Se utiliza cuando queremos dar más valor a alguna de las opciones sobre el resto</t>
  </si>
  <si>
    <t>AMENAZA</t>
  </si>
  <si>
    <t xml:space="preserve">FAMILIA DEL ACTIVO</t>
  </si>
  <si>
    <t xml:space="preserve">DIMENSIÓN VALOR</t>
  </si>
  <si>
    <t xml:space="preserve">DESASTRES NATURALES</t>
  </si>
  <si>
    <t>C</t>
  </si>
  <si>
    <t>I</t>
  </si>
  <si>
    <t>Nota:</t>
  </si>
  <si>
    <t>Fuego</t>
  </si>
  <si>
    <t>X</t>
  </si>
  <si>
    <t>1</t>
  </si>
  <si>
    <t xml:space="preserve">S: servicios</t>
  </si>
  <si>
    <t xml:space="preserve">Daños por agua</t>
  </si>
  <si>
    <t xml:space="preserve">SW: aplicaciones</t>
  </si>
  <si>
    <t xml:space="preserve">Desastres naturales</t>
  </si>
  <si>
    <t xml:space="preserve">HW: equipos informáticos</t>
  </si>
  <si>
    <t xml:space="preserve">DE ORIGEN INDUSTRIAL</t>
  </si>
  <si>
    <t xml:space="preserve">SI: soportes de almacenamiento</t>
  </si>
  <si>
    <t xml:space="preserve">AUX: equipamiento auxiliar</t>
  </si>
  <si>
    <t xml:space="preserve">COM: redes de comunicaciones</t>
  </si>
  <si>
    <t xml:space="preserve">Desastres industriales</t>
  </si>
  <si>
    <t xml:space="preserve">L: instalaciones</t>
  </si>
  <si>
    <t xml:space="preserve">Contaminación mecánica</t>
  </si>
  <si>
    <t xml:space="preserve">P: personas</t>
  </si>
  <si>
    <t xml:space="preserve">Contaminación electromagnética</t>
  </si>
  <si>
    <t xml:space="preserve">Avería de origen físico o lógico</t>
  </si>
  <si>
    <t xml:space="preserve">Las dimensiones se ordenan de mayor a menor daño, por ejemplo, según criterio de daño mitad. Por ejemplo, si: A = 1, I = 2, C = 3, se puede estimar que el daño mayor es en la disponibilidad, que el daño en la integridad es el 50 %</t>
  </si>
  <si>
    <t xml:space="preserve">Corte del suministro eléctrico</t>
  </si>
  <si>
    <t xml:space="preserve">Condiciones inadecuadas de temperatura y/o humedad</t>
  </si>
  <si>
    <t xml:space="preserve">Fallo servicios de comunicaciones</t>
  </si>
  <si>
    <t xml:space="preserve">Interrupción de otros servicios y suministros esenciales</t>
  </si>
  <si>
    <t xml:space="preserve">Degradación de los soportes de almacenamiento de la información</t>
  </si>
  <si>
    <t xml:space="preserve">Emanaciones electromagnéticas</t>
  </si>
  <si>
    <t xml:space="preserve">ERRORES Y FALLOS NO INTENCIONADOS</t>
  </si>
  <si>
    <t xml:space="preserve">Errores de los usuarios</t>
  </si>
  <si>
    <t xml:space="preserve">Errores del administrador</t>
  </si>
  <si>
    <t>3</t>
  </si>
  <si>
    <t>2</t>
  </si>
  <si>
    <t xml:space="preserve">Errores de monitorización</t>
  </si>
  <si>
    <t xml:space="preserve">Errores de configuración</t>
  </si>
  <si>
    <t xml:space="preserve">Deficiencias en la organización</t>
  </si>
  <si>
    <r>
      <t xml:space="preserve">Difusión de </t>
    </r>
    <r>
      <rPr>
        <i/>
        <sz val="10"/>
        <color indexed="64"/>
        <rFont val="Times New Roman"/>
      </rPr>
      <t xml:space="preserve">software </t>
    </r>
    <r>
      <rPr>
        <sz val="10"/>
        <color indexed="64"/>
        <rFont val="Times New Roman"/>
      </rPr>
      <t>dañino</t>
    </r>
  </si>
  <si>
    <t xml:space="preserve">Errores de re- encaminamiento</t>
  </si>
  <si>
    <t xml:space="preserve">Errores de secuencia</t>
  </si>
  <si>
    <t xml:space="preserve">Escapes de información</t>
  </si>
  <si>
    <t xml:space="preserve">Alteración de la información</t>
  </si>
  <si>
    <t xml:space="preserve">Introducción información incorrecta</t>
  </si>
  <si>
    <t xml:space="preserve">Degradación de la información</t>
  </si>
  <si>
    <t xml:space="preserve">Destrucción de la información</t>
  </si>
  <si>
    <t xml:space="preserve">Divulgación de información</t>
  </si>
  <si>
    <t xml:space="preserve">Vulnerabilidades de los programas</t>
  </si>
  <si>
    <t xml:space="preserve">Errores de mantenimiento/actualización de programas</t>
  </si>
  <si>
    <t xml:space="preserve">Errores de mantenimiento/actualización de equipos</t>
  </si>
  <si>
    <t xml:space="preserve">Caída del sistema por agotamiento de recursos</t>
  </si>
  <si>
    <t xml:space="preserve">Indisponibilidad del personal</t>
  </si>
  <si>
    <t xml:space="preserve">ATAQUES INTENCIONADOS</t>
  </si>
  <si>
    <t xml:space="preserve">Manipulación de la configuración</t>
  </si>
  <si>
    <t>7</t>
  </si>
  <si>
    <t xml:space="preserve">Suplantación de la identidad del usuario</t>
  </si>
  <si>
    <t>4</t>
  </si>
  <si>
    <t xml:space="preserve">Abuso de privilegios de acceso</t>
  </si>
  <si>
    <t xml:space="preserve">Uso no previsto</t>
  </si>
  <si>
    <t xml:space="preserve">Re-encaminamiento de mensajes</t>
  </si>
  <si>
    <t xml:space="preserve">Alteración de secuencia</t>
  </si>
  <si>
    <t xml:space="preserve">Acceso no autorizado</t>
  </si>
  <si>
    <t xml:space="preserve">Análisis de tráfico</t>
  </si>
  <si>
    <t>Repudio</t>
  </si>
  <si>
    <t xml:space="preserve">Interceptación de información (escucha)</t>
  </si>
  <si>
    <t xml:space="preserve">Modificación de la información</t>
  </si>
  <si>
    <t xml:space="preserve">Introducción de falsa información</t>
  </si>
  <si>
    <t xml:space="preserve">Corrupción de la información</t>
  </si>
  <si>
    <t xml:space="preserve">Divulgación de la información</t>
  </si>
  <si>
    <t xml:space="preserve">Manipulación de programas</t>
  </si>
  <si>
    <t xml:space="preserve">Denegación de servicio</t>
  </si>
  <si>
    <t>Robo</t>
  </si>
  <si>
    <t xml:space="preserve">Ataque destructivo</t>
  </si>
  <si>
    <t xml:space="preserve">Ocupación enemiga</t>
  </si>
  <si>
    <t>Extorsión</t>
  </si>
  <si>
    <t xml:space="preserve">Ingeniería social</t>
  </si>
  <si>
    <t>Amenazas</t>
  </si>
  <si>
    <t xml:space="preserve">Condiciones inadecuadas de temperatura o humedad</t>
  </si>
  <si>
    <t xml:space="preserve">Fallo de servicios de comunicaciones</t>
  </si>
  <si>
    <t xml:space="preserve">Fuga de información</t>
  </si>
  <si>
    <t xml:space="preserve">Difusión de software dañino</t>
  </si>
  <si>
    <t xml:space="preserve">Destrucción de información</t>
  </si>
  <si>
    <t xml:space="preserve">Errores de mantenimiento / actualización de programas (software)</t>
  </si>
  <si>
    <t xml:space="preserve">Errores de mantenimiento / actualización de equipos (hardware)</t>
  </si>
  <si>
    <t xml:space="preserve">Caída del sistema por sobrecarga</t>
  </si>
  <si>
    <t xml:space="preserve">Pérdida de equipos</t>
  </si>
  <si>
    <t xml:space="preserve">RIESGOS USUALES</t>
  </si>
  <si>
    <t xml:space="preserve">SALVAGUARDAS USUALES</t>
  </si>
  <si>
    <t>Incendio</t>
  </si>
  <si>
    <t xml:space="preserve">Que el fuego acabe con recursos del sistema</t>
  </si>
  <si>
    <t xml:space="preserve">Protección de las instalaciones frente a incendios</t>
  </si>
  <si>
    <t>Inundaciones</t>
  </si>
  <si>
    <t xml:space="preserve">Que el agua acabe con recursos del sistema</t>
  </si>
  <si>
    <t xml:space="preserve">Protección de las instalaciones frente a inundaciones </t>
  </si>
  <si>
    <t xml:space="preserve">Rayo, tormenta eléctrica</t>
  </si>
  <si>
    <t xml:space="preserve">Destrucción de sistemas electrónicos</t>
  </si>
  <si>
    <t xml:space="preserve">Protección de las instalaciones frente a descargas eléctricas</t>
  </si>
  <si>
    <t>Incendios</t>
  </si>
  <si>
    <t xml:space="preserve">Inundaciones, escapes agua</t>
  </si>
  <si>
    <t xml:space="preserve">Protección de las instalaciones frente a inundaciones</t>
  </si>
  <si>
    <t xml:space="preserve">Otros desastres industriales: sobrecarga eléctrica, fluctuaciones eléctricas</t>
  </si>
  <si>
    <t xml:space="preserve">Destrucción de sistemas  electrónicos</t>
  </si>
  <si>
    <t xml:space="preserve">Contaminación mecánica: vibraciones, polvo, suciedad</t>
  </si>
  <si>
    <t xml:space="preserve">Destrucción de sistemas electromecánicos</t>
  </si>
  <si>
    <t xml:space="preserve">Mantenimiento preventivo de limpieza, y reposición de componentes electromecánicos</t>
  </si>
  <si>
    <t xml:space="preserve">Avería de origen físico o lógico: fallos en los equipos, fallos en los programas</t>
  </si>
  <si>
    <t xml:space="preserve">Paradas de sistemas y/o pérdida de trazabilidad</t>
  </si>
  <si>
    <t xml:space="preserve">Disponer de sistemas de funcionamiento redundante</t>
  </si>
  <si>
    <t xml:space="preserve">Paradas de sistemas</t>
  </si>
  <si>
    <t xml:space="preserve">Sistemas de alimentación ininterrumpida</t>
  </si>
  <si>
    <t xml:space="preserve">Destrucción de componentes</t>
  </si>
  <si>
    <t xml:space="preserve">Sistemas de aire acondicionado, y alarma por exceso de temperatura y humedad</t>
  </si>
  <si>
    <t xml:space="preserve">Disponer rutas de comunicación redundantes</t>
  </si>
  <si>
    <t xml:space="preserve">Empleo de soportes redundantes, y realización de copias de seguridad</t>
  </si>
  <si>
    <t xml:space="preserve">Pérdida de información</t>
  </si>
  <si>
    <t xml:space="preserve">Copias de seguridad, incluidos registros de transacciones para deshacer operaciones</t>
  </si>
  <si>
    <t xml:space="preserve">Parada de sistema, ausencia de seguridad y trazabilidad</t>
  </si>
  <si>
    <t xml:space="preserve">Disociación de responsabilidades, para reducir daño de los errores </t>
  </si>
  <si>
    <t xml:space="preserve">Procedimientos de reinstalación y configuración del sistema. Copias de seguridad </t>
  </si>
  <si>
    <t xml:space="preserve">Deficiencias en la organización: Cuando no está claro quién es responsable de hacer qué y cuándo</t>
  </si>
  <si>
    <t xml:space="preserve">Paradas de sistemas, causadas por acciones descoordinadas u omisiones</t>
  </si>
  <si>
    <t xml:space="preserve">Políticas de seguridad con establecimiento de responsables </t>
  </si>
  <si>
    <t xml:space="preserve">Software de eliminación de virus, y de eliminación de software malicioso. Procedimientos de reinstalación y configuración del sistema. Copias de seguridad. </t>
  </si>
  <si>
    <t xml:space="preserve">Escapes de información: la información llega a quien no debe</t>
  </si>
  <si>
    <t xml:space="preserve">Perdida completa de confidencialidad</t>
  </si>
  <si>
    <t xml:space="preserve">Uso de técnicas de encriptación </t>
  </si>
  <si>
    <t xml:space="preserve">Alteración accidental de la información</t>
  </si>
  <si>
    <t xml:space="preserve">Pérdida completa de integridad</t>
  </si>
  <si>
    <t xml:space="preserve">Sistemas de revisión y validación de transacciones (mediante totales, revisión por otra persona u otras vías). </t>
  </si>
  <si>
    <t xml:space="preserve">Vulnerabilidades de los programas (defectos en el código que producen errores)</t>
  </si>
  <si>
    <t xml:space="preserve">Paradas del sistema y/o perdida de integridad</t>
  </si>
  <si>
    <t xml:space="preserve">Entornos de prueba y sistemas de revisión </t>
  </si>
  <si>
    <t xml:space="preserve">Paradas del sistema</t>
  </si>
  <si>
    <t xml:space="preserve">Plan de mantenimiento preventivo, para revisar fecha de actualización aplicada a las aplicaciones </t>
  </si>
  <si>
    <t xml:space="preserve">Aplicaciones de monitorización de recursos disponibles con alarmas</t>
  </si>
  <si>
    <t xml:space="preserve">Indisponibilidad del personal: ausencia accidental del puesto de trabajo por enfermedad, alteraciones de orden público, guerra, etc.</t>
  </si>
  <si>
    <t xml:space="preserve">Política de seguridad con establecimiento de responsables, y designación de suplentes de responsables</t>
  </si>
  <si>
    <t xml:space="preserve">Copias impresas de procedimientos de reinstalación, y configuración del sistema </t>
  </si>
  <si>
    <t xml:space="preserve">Pérdida completa de confidencialidad e integridad </t>
  </si>
  <si>
    <t xml:space="preserve">Sistemas de autenticación fuertes, que incluyan medidas biométricas</t>
  </si>
  <si>
    <t xml:space="preserve">Uso no previsto: típicamente en interés personal, juegos, etc.</t>
  </si>
  <si>
    <t xml:space="preserve">Impedir ejecución de procesos no autorizados</t>
  </si>
  <si>
    <t xml:space="preserve">Difusión de software dañino: virus, spyware, gusanos, troyanos, bombas lógicas, etc.</t>
  </si>
  <si>
    <t xml:space="preserve">Software de eliminación de virus y de eliminación de software malicioso. Procedimientos de reinstalación y configuración
del sistema. Copias de seguridad. </t>
  </si>
  <si>
    <t xml:space="preserve">Conocimiento de las pautas de actividad de la empresa</t>
  </si>
  <si>
    <t xml:space="preserve">Aleatorización de las rutas de comunicaciones, y encapsulamiento de protocolos </t>
  </si>
  <si>
    <t xml:space="preserve">Pérdida de trazabilidad de las operaciones</t>
  </si>
  <si>
    <t xml:space="preserve">Empleo de firmas digitales </t>
  </si>
  <si>
    <t xml:space="preserve">Pérdida de confidencialidad</t>
  </si>
  <si>
    <t xml:space="preserve">Empleo de técnicas de criptografía </t>
  </si>
  <si>
    <t xml:space="preserve">Copias de seguridad</t>
  </si>
  <si>
    <t xml:space="preserve">Paradas de sistema</t>
  </si>
  <si>
    <t xml:space="preserve">Penalización a solicitudes recurrentes. Monitorización de recursos disponibles y alarma </t>
  </si>
  <si>
    <t xml:space="preserve">Paradas de sistema y perdida de confidencialidad</t>
  </si>
  <si>
    <t xml:space="preserve">Alarmas antirrobo, sistemas de anclaje de equipos, técnicas de criptografía </t>
  </si>
  <si>
    <t xml:space="preserve">Ataque destructivo: (vandalismo, terrorismo, etc.)</t>
  </si>
  <si>
    <t xml:space="preserve">Copias de seguridad fuera de las instalaciones, acuerdos de alquiler de equipos para casos de emergencia, copias impresas de procedimientos de reinstalación y configuración del sistema </t>
  </si>
  <si>
    <t xml:space="preserve">Formación, empleo de mecanismos de autenticación fuertes con métodos biométricos</t>
  </si>
  <si>
    <t xml:space="preserve">TIPO DE ACTIVO</t>
  </si>
  <si>
    <t>SALVAGUARDAS</t>
  </si>
  <si>
    <t>Todos</t>
  </si>
  <si>
    <t xml:space="preserve">- Organización de la seguridad: responsables y comités.</t>
  </si>
  <si>
    <t xml:space="preserve">- Política corporativa de Seguridad de la Información.</t>
  </si>
  <si>
    <t xml:space="preserve">- Gestión de privilegios: adjudicación, revisión y terminación.</t>
  </si>
  <si>
    <t xml:space="preserve">- Procedimientos de escalado y gestión de incidencias.</t>
  </si>
  <si>
    <t xml:space="preserve">- Procedimientos de continuidad de las operaciones: planes de emergencia y recuperación</t>
  </si>
  <si>
    <t xml:space="preserve">- Auditorías, registros, certificaciones y acreditaciones del sistema.</t>
  </si>
  <si>
    <t>Servicios</t>
  </si>
  <si>
    <t xml:space="preserve">- Control del ciclo de vida de los servicios: especificación, desarrollo, despliegue, operación y terminación del servicio.</t>
  </si>
  <si>
    <t xml:space="preserve">- Control de los servicios externalizados u outsourcing, mediante cierre de la relación contractual, especificando: acuerdo de nivel de servicio, y si la disponibilidad es un valor; compromiso de secreto, y si la confidencialidad es un valor; identificación y calificación del personal encargado, procedimientos de escalado y resolución de incidencias, procedimiento de terminación y duración en el tiempo de las responsabilidades asumidas, asunción de responsabilidades, y penalizaciones por incumplimiento.</t>
  </si>
  <si>
    <t xml:space="preserve">- Controles de acceso (A-S) basados en contraseñas, certificados digitales, y dispositivos o características biométricas.</t>
  </si>
  <si>
    <t xml:space="preserve">- Registros de actuaciones (T-S).</t>
  </si>
  <si>
    <t xml:space="preserve">- Registros de incidencias (T-S).</t>
  </si>
  <si>
    <t xml:space="preserve">- Plan de continuidad (A).</t>
  </si>
  <si>
    <t>Información</t>
  </si>
  <si>
    <t xml:space="preserve">- Organización de la información: documento de seguridad en caso de datos de carácter personal, clasificación de la información, gestión de claves.</t>
  </si>
  <si>
    <t xml:space="preserve">- Control de acceso (A-D).</t>
  </si>
  <si>
    <t xml:space="preserve">- Firma electrónica (A-D).</t>
  </si>
  <si>
    <t xml:space="preserve">- Registro de actuaciones (T-D).</t>
  </si>
  <si>
    <t xml:space="preserve">- Registro de incidencias (T-D).</t>
  </si>
  <si>
    <t xml:space="preserve">- Copias de respaldo (D).</t>
  </si>
  <si>
    <t xml:space="preserve">- Cifrado (C), de carácter preventivo.</t>
  </si>
  <si>
    <t xml:space="preserve">- Marcado (C), facilita la persecución.</t>
  </si>
  <si>
    <t>Aplicaciones</t>
  </si>
  <si>
    <r>
      <t xml:space="preserve">- Control del ciclo de vida del SW </t>
    </r>
    <r>
      <rPr>
        <i/>
        <sz val="12"/>
        <color theme="1"/>
        <rFont val="Times New Roman"/>
      </rPr>
      <t xml:space="preserve">(software): </t>
    </r>
    <r>
      <rPr>
        <sz val="12"/>
        <color theme="1"/>
        <rFont val="Times New Roman"/>
      </rPr>
      <t xml:space="preserve">especificación funcional y no funcional, desarrollo seguro y protección del código fuente, aceptación y puesta en operación, explotación incluida gestión de cambios/configuración/incidencias, homologación/certificación/acreditación.</t>
    </r>
  </si>
  <si>
    <t xml:space="preserve">- Protección frente a código dañino (I) como virus, troyanos o puertas traseras.</t>
  </si>
  <si>
    <t xml:space="preserve">- Control de acceso (A-S, A-D).</t>
  </si>
  <si>
    <t xml:space="preserve">- Registro de actuaciones (T-S, T-D).</t>
  </si>
  <si>
    <t>Equipos</t>
  </si>
  <si>
    <t xml:space="preserve">- Control de la seguridad física: inventario, control de entradas y salidas, destrucción, homologación/certificación/acreditación.</t>
  </si>
  <si>
    <t xml:space="preserve">- Configuración de equipos internos y de equipos que salen de los locales.</t>
  </si>
  <si>
    <t xml:space="preserve">- Mantenimiento (I) con protección frente a código dañino y detección de intrusión.</t>
  </si>
  <si>
    <t xml:space="preserve">- Registro de intrusiones.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</si>
</sst>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sz val="11.000000"/>
      <color indexed="64"/>
      <name val="Calibri"/>
    </font>
    <font>
      <b/>
      <sz val="11.000000"/>
      <color theme="1"/>
      <name val="Calibri"/>
      <scheme val="minor"/>
    </font>
    <font>
      <b/>
      <sz val="16.000000"/>
      <color indexed="64"/>
      <name val="Calibri"/>
    </font>
    <font>
      <sz val="12.000000"/>
      <color indexed="64"/>
      <name val="Calibri"/>
    </font>
    <font>
      <b/>
      <sz val="18.000000"/>
      <color theme="1"/>
      <name val="Calibri"/>
      <scheme val="minor"/>
    </font>
    <font>
      <sz val="10.000000"/>
      <color indexed="64"/>
      <name val="Calibri"/>
    </font>
    <font>
      <sz val="10.000000"/>
      <color theme="1"/>
      <name val="Calibri"/>
      <scheme val="minor"/>
    </font>
    <font>
      <b/>
      <sz val="10.000000"/>
      <color indexed="64"/>
      <name val="Times New Roman"/>
    </font>
    <font>
      <sz val="10.000000"/>
      <color indexed="64"/>
      <name val="Times New Roman"/>
    </font>
    <font>
      <sz val="11.000000"/>
      <color theme="1"/>
      <name val="Arial"/>
    </font>
    <font>
      <b/>
      <sz val="14.000000"/>
      <color theme="0"/>
      <name val="Arial"/>
    </font>
    <font>
      <sz val="9.500000"/>
      <color theme="1"/>
      <name val="Times New Roman"/>
    </font>
    <font>
      <sz val="12.000000"/>
      <color theme="1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</patternFill>
    </fill>
    <fill>
      <patternFill patternType="solid">
        <fgColor theme="5" tint="-0.249977111117893"/>
      </patternFill>
    </fill>
    <fill>
      <patternFill patternType="solid">
        <fgColor theme="7" tint="0.79998168889431442"/>
      </patternFill>
    </fill>
    <fill>
      <patternFill patternType="solid">
        <f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2"/>
      </patternFill>
    </fill>
    <fill>
      <patternFill patternType="solid">
        <fgColor theme="0"/>
      </patternFill>
    </fill>
    <fill>
      <patternFill patternType="solid">
        <fgColor rgb="FFE62C00"/>
      </patternFill>
    </fill>
    <fill>
      <patternFill patternType="solid">
        <fgColor theme="3" tint="0.79998168889431442"/>
      </patternFill>
    </fill>
    <fill>
      <patternFill patternType="solid">
        <fgColor theme="6" tint="0.79998168889431442"/>
      </patternFill>
    </fill>
    <fill>
      <patternFill patternType="solid">
        <fgColor theme="0" tint="-0.049989318521683403"/>
      </patternFill>
    </fill>
    <fill>
      <patternFill patternType="solid">
        <fgColor theme="5" tint="0.79998168889431442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80">
    <xf fontId="0" fillId="0" borderId="0" numFmtId="0" xfId="0"/>
    <xf fontId="2" fillId="0" borderId="1" numFmtId="0" xfId="0" applyFont="1" applyBorder="1" applyAlignment="1">
      <alignment horizontal="center" vertical="center"/>
    </xf>
    <xf fontId="0" fillId="0" borderId="1" numFmtId="0" xfId="0" applyBorder="1"/>
    <xf fontId="0" fillId="2" borderId="1" numFmtId="0" xfId="0" applyFill="1" applyBorder="1" applyAlignment="1">
      <alignment horizontal="left" vertical="top" wrapText="1"/>
    </xf>
    <xf fontId="0" fillId="3" borderId="1" numFmtId="0" xfId="0" applyFill="1" applyBorder="1" applyAlignment="1">
      <alignment horizontal="left" vertical="top" wrapText="1"/>
    </xf>
    <xf fontId="0" fillId="4" borderId="1" numFmtId="0" xfId="0" applyFill="1" applyBorder="1" applyAlignment="1">
      <alignment horizontal="left" vertical="top" wrapText="1"/>
    </xf>
    <xf fontId="0" fillId="5" borderId="1" numFmtId="0" xfId="0" applyFill="1" applyBorder="1" applyAlignment="1">
      <alignment horizontal="left" vertical="top" wrapText="1"/>
    </xf>
    <xf fontId="0" fillId="6" borderId="1" numFmtId="0" xfId="0" applyFill="1" applyBorder="1" applyAlignment="1">
      <alignment horizontal="left" vertical="top" wrapText="1"/>
    </xf>
    <xf fontId="2" fillId="0" borderId="0" numFmtId="0" xfId="0" applyFont="1" applyAlignment="1">
      <alignment vertical="center"/>
    </xf>
    <xf fontId="2" fillId="5" borderId="1" numFmtId="0" xfId="0" applyFont="1" applyFill="1" applyBorder="1" applyAlignment="1">
      <alignment horizontal="left"/>
    </xf>
    <xf fontId="0" fillId="5" borderId="1" numFmtId="0" xfId="0" applyFill="1" applyBorder="1"/>
    <xf fontId="2" fillId="0" borderId="1" numFmtId="0" xfId="0" applyFont="1" applyBorder="1"/>
    <xf fontId="0" fillId="4" borderId="1" numFmtId="0" xfId="0" applyFill="1" applyBorder="1"/>
    <xf fontId="0" fillId="2" borderId="1" numFmtId="0" xfId="0" applyFill="1" applyBorder="1"/>
    <xf fontId="0" fillId="3" borderId="1" numFmtId="0" xfId="0" applyFill="1" applyBorder="1"/>
    <xf fontId="3" fillId="7" borderId="1" numFmtId="0" xfId="0" applyFont="1" applyFill="1" applyBorder="1" applyAlignment="1">
      <alignment horizontal="justify" vertical="center"/>
    </xf>
    <xf fontId="0" fillId="0" borderId="0" numFmtId="0" xfId="0" applyAlignment="1">
      <alignment horizontal="left" vertical="center"/>
    </xf>
    <xf fontId="4" fillId="0" borderId="0" numFmtId="0" xfId="0" applyFont="1" applyAlignment="1">
      <alignment horizontal="left" vertical="center" wrapText="1"/>
    </xf>
    <xf fontId="0" fillId="0" borderId="0" numFmtId="0" xfId="0" applyAlignment="1">
      <alignment horizontal="center" vertical="center"/>
    </xf>
    <xf fontId="5" fillId="0" borderId="0" numFmtId="0" xfId="0" applyFont="1" applyAlignment="1">
      <alignment horizontal="left" vertical="top"/>
    </xf>
    <xf fontId="2" fillId="5" borderId="0" numFmtId="0" xfId="0" applyFont="1" applyFill="1" applyAlignment="1">
      <alignment horizontal="left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vertical="center"/>
    </xf>
    <xf fontId="2" fillId="0" borderId="0" numFmtId="0" xfId="0" applyFont="1"/>
    <xf fontId="0" fillId="0" borderId="0" numFmtId="0" xfId="0" applyAlignment="1">
      <alignment horizontal="center"/>
    </xf>
    <xf fontId="0" fillId="0" borderId="0" numFmtId="49" xfId="0" applyNumberFormat="1" applyAlignment="1">
      <alignment horizontal="center"/>
    </xf>
    <xf fontId="2" fillId="0" borderId="0" numFmtId="0" xfId="0" applyFont="1" applyAlignment="1">
      <alignment horizontal="right"/>
    </xf>
    <xf fontId="0" fillId="0" borderId="0" numFmtId="2" xfId="0" applyNumberFormat="1" applyAlignment="1">
      <alignment horizontal="center"/>
    </xf>
    <xf fontId="1" fillId="0" borderId="0" numFmtId="0" xfId="1" applyFont="1"/>
    <xf fontId="6" fillId="0" borderId="0" numFmtId="0" xfId="1" applyFont="1"/>
    <xf fontId="6" fillId="0" borderId="0" numFmtId="0" xfId="1" applyFont="1" applyAlignment="1">
      <alignment horizontal="center"/>
    </xf>
    <xf fontId="7" fillId="0" borderId="0" numFmtId="0" xfId="0" applyFont="1" applyAlignment="1">
      <alignment horizontal="center" vertical="center"/>
    </xf>
    <xf fontId="1" fillId="0" borderId="0" numFmtId="0" xfId="1" applyFont="1" applyAlignment="1">
      <alignment horizontal="center" vertical="center"/>
    </xf>
    <xf fontId="8" fillId="4" borderId="2" numFmtId="0" xfId="1" applyFont="1" applyFill="1" applyBorder="1" applyAlignment="1">
      <alignment horizontal="center" vertical="center" wrapText="1"/>
    </xf>
    <xf fontId="8" fillId="4" borderId="3" numFmtId="0" xfId="1" applyFont="1" applyFill="1" applyBorder="1" applyAlignment="1">
      <alignment horizontal="center" vertical="center" wrapText="1"/>
    </xf>
    <xf fontId="8" fillId="4" borderId="4" numFmtId="0" xfId="1" applyFont="1" applyFill="1" applyBorder="1" applyAlignment="1">
      <alignment horizontal="center" vertical="center" wrapText="1"/>
    </xf>
    <xf fontId="8" fillId="4" borderId="1" numFmtId="0" xfId="0" applyFont="1" applyFill="1" applyBorder="1" applyAlignment="1">
      <alignment horizontal="center" vertical="center" wrapText="1"/>
    </xf>
    <xf fontId="1" fillId="0" borderId="0" numFmtId="0" xfId="1" applyFont="1" applyAlignment="1">
      <alignment vertical="center"/>
    </xf>
    <xf fontId="8" fillId="5" borderId="2" numFmtId="0" xfId="1" applyFont="1" applyFill="1" applyBorder="1" applyAlignment="1">
      <alignment horizontal="left" vertical="center"/>
    </xf>
    <xf fontId="8" fillId="5" borderId="3" numFmtId="0" xfId="1" applyFont="1" applyFill="1" applyBorder="1" applyAlignment="1">
      <alignment horizontal="center" vertical="center" wrapText="1"/>
    </xf>
    <xf fontId="8" fillId="4" borderId="5" numFmtId="0" xfId="0" applyFont="1" applyFill="1" applyBorder="1" applyAlignment="1">
      <alignment horizontal="center" vertical="center" wrapText="1"/>
    </xf>
    <xf fontId="9" fillId="0" borderId="2" numFmtId="0" xfId="1" applyFont="1" applyBorder="1" applyAlignment="1">
      <alignment horizontal="left" vertical="center" wrapText="1"/>
    </xf>
    <xf fontId="6" fillId="0" borderId="3" numFmtId="0" xfId="1" applyFont="1" applyBorder="1" applyAlignment="1">
      <alignment horizontal="center" vertical="center"/>
    </xf>
    <xf fontId="9" fillId="0" borderId="3" numFmtId="0" xfId="1" applyFont="1" applyBorder="1" applyAlignment="1">
      <alignment horizontal="center" vertical="center" wrapText="1"/>
    </xf>
    <xf fontId="7" fillId="0" borderId="3" numFmtId="0" xfId="0" applyFont="1" applyBorder="1" applyAlignment="1">
      <alignment horizontal="center" vertical="center"/>
    </xf>
    <xf fontId="9" fillId="0" borderId="3" numFmtId="0" xfId="0" applyFont="1" applyBorder="1" applyAlignment="1">
      <alignment horizontal="center" vertical="center" wrapText="1"/>
    </xf>
    <xf fontId="8" fillId="4" borderId="3" numFmtId="0" xfId="0" applyFont="1" applyFill="1" applyBorder="1" applyAlignment="1">
      <alignment horizontal="center" vertical="center" wrapText="1"/>
    </xf>
    <xf fontId="9" fillId="0" borderId="2" numFmtId="0" xfId="1" applyFont="1" applyBorder="1" applyAlignment="1">
      <alignment horizontal="left" vertical="center"/>
    </xf>
    <xf fontId="1" fillId="0" borderId="0" numFmtId="0" xfId="1" applyFont="1" applyAlignment="1">
      <alignment horizontal="left" vertical="top" wrapText="1"/>
    </xf>
    <xf fontId="9" fillId="0" borderId="6" numFmtId="0" xfId="1" applyFont="1" applyBorder="1" applyAlignment="1">
      <alignment horizontal="left" vertical="center"/>
    </xf>
    <xf fontId="6" fillId="0" borderId="7" numFmtId="0" xfId="1" applyFont="1" applyBorder="1" applyAlignment="1">
      <alignment horizontal="center" vertical="center"/>
    </xf>
    <xf fontId="9" fillId="0" borderId="7" numFmtId="0" xfId="1" applyFont="1" applyBorder="1" applyAlignment="1">
      <alignment horizontal="center" vertical="center" wrapText="1"/>
    </xf>
    <xf fontId="7" fillId="0" borderId="7" numFmtId="0" xfId="0" applyFont="1" applyBorder="1" applyAlignment="1">
      <alignment horizontal="center" vertical="center"/>
    </xf>
    <xf fontId="9" fillId="0" borderId="7" numFmtId="0" xfId="0" applyFont="1" applyBorder="1" applyAlignment="1">
      <alignment horizontal="center" vertical="center" wrapText="1"/>
    </xf>
    <xf fontId="1" fillId="0" borderId="0" numFmtId="0" xfId="1" applyFont="1" applyAlignment="1">
      <alignment vertical="top" wrapText="1"/>
    </xf>
    <xf fontId="9" fillId="0" borderId="3" numFmtId="0" xfId="1" applyFont="1" applyBorder="1" applyAlignment="1">
      <alignment horizontal="center" vertical="center"/>
    </xf>
    <xf fontId="9" fillId="0" borderId="3" numFmtId="0" xfId="0" applyFont="1" applyBorder="1" applyAlignment="1">
      <alignment horizontal="center" vertical="center"/>
    </xf>
    <xf fontId="8" fillId="5" borderId="8" numFmtId="0" xfId="1" applyFont="1" applyFill="1" applyBorder="1" applyAlignment="1">
      <alignment horizontal="left" vertical="center"/>
    </xf>
    <xf fontId="8" fillId="5" borderId="5" numFmtId="0" xfId="1" applyFont="1" applyFill="1" applyBorder="1" applyAlignment="1">
      <alignment horizontal="center" vertical="center"/>
    </xf>
    <xf fontId="8" fillId="4" borderId="5" numFmtId="0" xfId="0" applyFont="1" applyFill="1" applyBorder="1" applyAlignment="1">
      <alignment horizontal="center" vertical="center"/>
    </xf>
    <xf fontId="10" fillId="8" borderId="0" numFmtId="0" xfId="0" applyFont="1" applyFill="1" applyAlignment="1">
      <alignment vertical="center"/>
    </xf>
    <xf fontId="11" fillId="9" borderId="0" numFmtId="0" xfId="0" applyFont="1" applyFill="1" applyAlignment="1">
      <alignment horizontal="center" vertical="center"/>
    </xf>
    <xf fontId="10" fillId="8" borderId="0" numFmtId="0" xfId="0" applyFont="1" applyFill="1" applyAlignment="1">
      <alignment horizontal="center" vertical="center"/>
    </xf>
    <xf fontId="10" fillId="10" borderId="0" numFmtId="0" xfId="0" applyFont="1" applyFill="1" applyAlignment="1">
      <alignment vertical="center"/>
    </xf>
    <xf fontId="10" fillId="11" borderId="0" numFmtId="0" xfId="0" applyFont="1" applyFill="1" applyAlignment="1">
      <alignment horizontal="left" vertical="center"/>
    </xf>
    <xf fontId="10" fillId="5" borderId="0" numFmtId="0" xfId="0" applyFont="1" applyFill="1" applyAlignment="1">
      <alignment horizontal="left" vertical="center"/>
    </xf>
    <xf fontId="10" fillId="12" borderId="0" numFmtId="0" xfId="0" applyFont="1" applyFill="1" applyAlignment="1">
      <alignment vertical="center"/>
    </xf>
    <xf fontId="10" fillId="4" borderId="0" numFmtId="0" xfId="0" applyFont="1" applyFill="1" applyAlignment="1">
      <alignment horizontal="left" vertical="center"/>
    </xf>
    <xf fontId="10" fillId="13" borderId="0" numFmtId="0" xfId="0" applyFont="1" applyFill="1" applyAlignment="1">
      <alignment horizontal="left" vertical="center"/>
    </xf>
    <xf fontId="8" fillId="5" borderId="9" numFmtId="0" xfId="1" applyFont="1" applyFill="1" applyBorder="1" applyAlignment="1">
      <alignment horizontal="left" vertical="center"/>
    </xf>
    <xf fontId="8" fillId="5" borderId="1" numFmtId="0" xfId="1" applyFont="1" applyFill="1" applyBorder="1" applyAlignment="1">
      <alignment vertical="center" wrapText="1"/>
    </xf>
    <xf fontId="8" fillId="5" borderId="1" numFmtId="0" xfId="0" applyFont="1" applyFill="1" applyBorder="1" applyAlignment="1">
      <alignment vertical="center" wrapText="1"/>
    </xf>
    <xf fontId="9" fillId="0" borderId="9" numFmtId="0" xfId="1" applyFont="1" applyBorder="1" applyAlignment="1">
      <alignment horizontal="left" vertical="center" wrapText="1"/>
    </xf>
    <xf fontId="9" fillId="0" borderId="1" numFmtId="0" xfId="1" applyFont="1" applyBorder="1" applyAlignment="1">
      <alignment horizontal="left" vertical="center" wrapText="1"/>
    </xf>
    <xf fontId="9" fillId="0" borderId="9" numFmtId="0" xfId="1" applyFont="1" applyBorder="1" applyAlignment="1">
      <alignment horizontal="left" vertical="center"/>
    </xf>
    <xf fontId="9" fillId="0" borderId="10" numFmtId="0" xfId="1" applyFont="1" applyBorder="1" applyAlignment="1">
      <alignment horizontal="left" vertical="center"/>
    </xf>
    <xf fontId="8" fillId="5" borderId="11" numFmtId="0" xfId="1" applyFont="1" applyFill="1" applyBorder="1" applyAlignment="1">
      <alignment horizontal="left" vertical="center"/>
    </xf>
    <xf fontId="12" fillId="0" borderId="0" numFmtId="0" xfId="0" applyFont="1" applyAlignment="1">
      <alignment vertical="center"/>
    </xf>
    <xf fontId="8" fillId="4" borderId="6" numFmtId="0" xfId="1" applyFont="1" applyFill="1" applyBorder="1" applyAlignment="1">
      <alignment horizontal="center" vertical="center" wrapText="1"/>
    </xf>
    <xf fontId="13" fillId="0" borderId="1" numFmtId="0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438150</xdr:colOff>
      <xdr:row>0</xdr:row>
      <xdr:rowOff>9525</xdr:rowOff>
    </xdr:from>
    <xdr:to>
      <xdr:col>6</xdr:col>
      <xdr:colOff>674596</xdr:colOff>
      <xdr:row>13</xdr:row>
      <xdr:rowOff>143059</xdr:rowOff>
    </xdr:to>
    <xdr:grpSp>
      <xdr:nvGrpSpPr>
        <xdr:cNvPr id="0" name=""/>
        <xdr:cNvGrpSpPr/>
      </xdr:nvGrpSpPr>
      <xdr:grpSpPr bwMode="auto">
        <a:xfrm>
          <a:off x="1200150" y="9525"/>
          <a:ext cx="4046446" cy="2610034"/>
          <a:chOff x="5907351" y="1690688"/>
          <a:chExt cx="5278836" cy="3278774"/>
        </a:xfrm>
      </xdr:grpSpPr>
      <xdr:pic>
        <xdr:nvPicPr>
          <xdr:cNvPr id="3" name="Imagen 2"/>
          <xdr:cNvPicPr>
            <a:picLocks noChangeAspect="1"/>
          </xdr:cNvPicPr>
        </xdr:nvPicPr>
        <xdr:blipFill rotWithShape="1">
          <a:blip r:embed="rId1"/>
          <a:stretch/>
        </xdr:blipFill>
        <xdr:spPr bwMode="auto">
          <a:xfrm>
            <a:off x="5907351" y="3635962"/>
            <a:ext cx="5191125" cy="1333500"/>
          </a:xfrm>
          <a:prstGeom prst="rect">
            <a:avLst/>
          </a:prstGeom>
        </xdr:spPr>
      </xdr:pic>
      <xdr:pic>
        <xdr:nvPicPr>
          <xdr:cNvPr id="4" name="Imagen 3"/>
          <xdr:cNvPicPr>
            <a:picLocks noChangeAspect="1"/>
          </xdr:cNvPicPr>
        </xdr:nvPicPr>
        <xdr:blipFill rotWithShape="1">
          <a:blip r:embed="rId2"/>
          <a:stretch/>
        </xdr:blipFill>
        <xdr:spPr bwMode="auto">
          <a:xfrm>
            <a:off x="5995062" y="1690688"/>
            <a:ext cx="5191125" cy="200025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447675</xdr:colOff>
      <xdr:row>14</xdr:row>
      <xdr:rowOff>123824</xdr:rowOff>
    </xdr:from>
    <xdr:to>
      <xdr:col>6</xdr:col>
      <xdr:colOff>581025</xdr:colOff>
      <xdr:row>28</xdr:row>
      <xdr:rowOff>138813</xdr:rowOff>
    </xdr:to>
    <xdr:pic>
      <xdr:nvPicPr>
        <xdr:cNvPr id="5" name="Imagen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209675" y="3362324"/>
          <a:ext cx="3943350" cy="2681988"/>
        </a:xfrm>
        <a:prstGeom prst="rect">
          <a:avLst/>
        </a:prstGeom>
      </xdr:spPr>
    </xdr:pic>
    <xdr:clientData/>
  </xdr:twoCellAnchor>
  <xdr:twoCellAnchor editAs="oneCell">
    <xdr:from>
      <xdr:col>7</xdr:col>
      <xdr:colOff>247649</xdr:colOff>
      <xdr:row>2</xdr:row>
      <xdr:rowOff>38100</xdr:rowOff>
    </xdr:from>
    <xdr:to>
      <xdr:col>16</xdr:col>
      <xdr:colOff>601842</xdr:colOff>
      <xdr:row>12</xdr:row>
      <xdr:rowOff>163244</xdr:rowOff>
    </xdr:to>
    <xdr:pic>
      <xdr:nvPicPr>
        <xdr:cNvPr id="6" name="Imagen 5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581649" y="990600"/>
          <a:ext cx="7212193" cy="2030144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15</xdr:row>
      <xdr:rowOff>114300</xdr:rowOff>
    </xdr:from>
    <xdr:to>
      <xdr:col>15</xdr:col>
      <xdr:colOff>231783</xdr:colOff>
      <xdr:row>28</xdr:row>
      <xdr:rowOff>131280</xdr:rowOff>
    </xdr:to>
    <xdr:pic>
      <xdr:nvPicPr>
        <xdr:cNvPr id="7" name="Imagen 6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5705475" y="3543300"/>
          <a:ext cx="5956308" cy="2493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304800</xdr:colOff>
      <xdr:row>22</xdr:row>
      <xdr:rowOff>9526</xdr:rowOff>
    </xdr:from>
    <xdr:to>
      <xdr:col>6</xdr:col>
      <xdr:colOff>257175</xdr:colOff>
      <xdr:row>37</xdr:row>
      <xdr:rowOff>174260</xdr:rowOff>
    </xdr:to>
    <xdr:pic>
      <xdr:nvPicPr>
        <xdr:cNvPr id="2" name="Imagen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066800" y="4200526"/>
          <a:ext cx="5724524" cy="30222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28575</xdr:colOff>
      <xdr:row>0</xdr:row>
      <xdr:rowOff>609600</xdr:rowOff>
    </xdr:from>
    <xdr:to>
      <xdr:col>1</xdr:col>
      <xdr:colOff>2505075</xdr:colOff>
      <xdr:row>0</xdr:row>
      <xdr:rowOff>1190625</xdr:rowOff>
    </xdr:to>
    <xdr:pic>
      <xdr:nvPicPr>
        <xdr:cNvPr id="3" name="6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790575" y="609600"/>
          <a:ext cx="2476500" cy="581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</xdr:col>
      <xdr:colOff>21067</xdr:colOff>
      <xdr:row>0</xdr:row>
      <xdr:rowOff>2378120</xdr:rowOff>
    </xdr:from>
    <xdr:to>
      <xdr:col>12</xdr:col>
      <xdr:colOff>1</xdr:colOff>
      <xdr:row>0</xdr:row>
      <xdr:rowOff>2874781</xdr:rowOff>
    </xdr:to>
    <xdr:sp fLocksText="0">
      <xdr:nvSpPr>
        <xdr:cNvPr id="4" name="7 CuadroTexto"/>
        <xdr:cNvSpPr txBox="1"/>
      </xdr:nvSpPr>
      <xdr:spPr bwMode="auto">
        <a:xfrm>
          <a:off x="783067" y="2378120"/>
          <a:ext cx="11951859" cy="496661"/>
        </a:xfrm>
        <a:prstGeom prst="rect">
          <a:avLst/>
        </a:prstGeom>
        <a:solidFill>
          <a:srgbClr val="E62C00"/>
        </a:solidFill>
        <a:ln w="25400">
          <a:solidFill>
            <a:schemeClr val="tx1"/>
          </a:solidFill>
        </a:ln>
        <a:effectLst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marL="0" indent="0" algn="ctr">
            <a:spcBef>
              <a:spcPts val="0"/>
            </a:spcBef>
            <a:spcAft>
              <a:spcPts val="0"/>
            </a:spcAft>
            <a:defRPr/>
          </a:pPr>
          <a:r>
            <a:rPr lang="es-ES" sz="1300" b="1">
              <a:solidFill>
                <a:schemeClr val="bg1"/>
              </a:solidFill>
              <a:latin typeface="Arial"/>
              <a:ea typeface="+mn-ea"/>
              <a:cs typeface="Arial"/>
            </a:rPr>
            <a:t>Esta información es facilitada por INCIBE de forma absolutamente gratuita.  INCIBE no se responsabiliza del uso que pueda hacerse de la misma.</a:t>
          </a:r>
          <a:endParaRPr/>
        </a:p>
      </xdr:txBody>
    </xdr:sp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uel Fernandez" id="{6F768CFF-56D2-1DB9-0889-C0879F804103}"/>
  <person displayName="Manuel FR" id="{7F130C59-0559-E763-8A7A-9F55820E498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personId="{6F768CFF-56D2-1DB9-0889-C0879F804103}" id="{00C4009B-00DE-4E91-A7D5-00DC00DC0059}" done="0">
    <text xml:space="preserve">Impacto Residual:
MB: Muy Bajo
B: Bajo
M: Medio
A: Alto
MA: Muy Alto
</text>
  </threadedComment>
  <threadedComment ref="L1" personId="{6F768CFF-56D2-1DB9-0889-C0879F804103}" id="{002700FB-0087-461D-9257-00140099003E}" done="0">
    <text xml:space="preserve">Riesgo Residual:
MB: Muy Bajo
B: Bajo
M: Medio
A: Alto
MA: Muy Alto
</text>
  </threadedComment>
  <threadedComment ref="C1" personId="{6F768CFF-56D2-1DB9-0889-C0879F804103}" id="{002C00E4-0061-4927-9E25-00D500920067}" done="0">
    <text xml:space="preserve">Valoración:
(MA) Muy Alto
(A) Alto
(M) Medio
(B) Bajo
(MB) Muy Bajo
</text>
  </threadedComment>
  <threadedComment ref="E1" personId="{6F768CFF-56D2-1DB9-0889-C0879F804103}" id="{009400E7-0078-403B-9B79-00780006005A}" done="0">
    <text xml:space="preserve">Degradación 
Completa
Parcial
Inexistente
</text>
  </threadedComment>
  <threadedComment ref="F1" personId="{6F768CFF-56D2-1DB9-0889-C0879F804103}" id="{00E000A9-0006-45A2-AEA6-006B00C30054}" done="0">
    <text xml:space="preserve">Impacto: 
MB: Muy Bajo
B: Bajo
M: Medio
A: Alto
MA: Muy Alto
</text>
  </threadedComment>
  <threadedComment ref="G1" personId="{6F768CFF-56D2-1DB9-0889-C0879F804103}" id="{00AC00E5-00A0-4845-A30E-00A500BE00A0}" done="0">
    <text xml:space="preserve">MF: Muy Frecuente
F: Frecuente
N: Normal
PF: Poco Frecuente
</text>
  </threadedComment>
  <threadedComment ref="H1" personId="{6F768CFF-56D2-1DB9-0889-C0879F804103}" id="{00750085-0005-431B-AF47-002000BA0032}" done="0">
    <text xml:space="preserve">Riesgo:
MB: Muy Bajo
B: Bajo
M: Medio
A: Alto
MA: Muy Alto
</text>
  </threadedComment>
  <threadedComment ref="I1" personId="{7F130C59-0559-E763-8A7A-9F55820E4987}" id="{00C900DA-0077-4775-8B51-009000FD000B}" done="0">
    <text xml:space="preserve">Manuel Fernández:
Asignar códigos  a los riesgos (R1, R2, R3 …)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6" activeCellId="0" sqref="J6"/>
    </sheetView>
  </sheetViews>
  <sheetFormatPr baseColWidth="10" defaultRowHeight="14.25"/>
  <cols>
    <col customWidth="1" min="2" max="2" width="17.7109375"/>
    <col customWidth="1" min="13" max="13" width="45.5703125"/>
  </cols>
  <sheetData>
    <row r="4" ht="27" customHeight="1">
      <c r="B4" s="1" t="s">
        <v>0</v>
      </c>
      <c r="C4" s="1"/>
      <c r="D4" s="1" t="s">
        <v>1</v>
      </c>
      <c r="E4" s="1"/>
      <c r="F4" s="1"/>
      <c r="G4" s="1"/>
    </row>
    <row r="5">
      <c r="B5" s="1"/>
      <c r="C5" s="1"/>
      <c r="D5" s="2" t="s">
        <v>2</v>
      </c>
      <c r="E5" s="2" t="s">
        <v>3</v>
      </c>
      <c r="F5" s="2" t="s">
        <v>4</v>
      </c>
      <c r="G5" s="2" t="s">
        <v>5</v>
      </c>
    </row>
    <row r="6" ht="36.75" customHeight="1">
      <c r="B6" s="1" t="s">
        <v>6</v>
      </c>
      <c r="C6" s="2" t="s">
        <v>7</v>
      </c>
      <c r="D6" s="3"/>
      <c r="E6" s="4"/>
      <c r="F6" s="4"/>
      <c r="G6" s="4"/>
    </row>
    <row r="7" ht="36.75" customHeight="1">
      <c r="B7" s="1"/>
      <c r="C7" s="2" t="s">
        <v>8</v>
      </c>
      <c r="D7" s="5"/>
      <c r="E7" s="3"/>
      <c r="F7" s="4"/>
      <c r="G7" s="4"/>
    </row>
    <row r="8" ht="36.75" customHeight="1">
      <c r="B8" s="1"/>
      <c r="C8" s="2" t="s">
        <v>9</v>
      </c>
      <c r="D8" s="6"/>
      <c r="E8" s="5"/>
      <c r="F8" s="3"/>
      <c r="G8" s="4"/>
    </row>
    <row r="9" ht="36.75" customHeight="1">
      <c r="B9" s="1"/>
      <c r="C9" s="2" t="s">
        <v>10</v>
      </c>
      <c r="D9" s="7"/>
      <c r="E9" s="6"/>
      <c r="F9" s="5"/>
      <c r="G9" s="3"/>
    </row>
    <row r="10" ht="36.75" customHeight="1">
      <c r="B10" s="1"/>
      <c r="C10" s="2" t="s">
        <v>11</v>
      </c>
      <c r="D10" s="7"/>
      <c r="E10" s="7"/>
      <c r="F10" s="6"/>
      <c r="G10" s="5"/>
    </row>
    <row r="11">
      <c r="B11" s="8"/>
    </row>
    <row r="12">
      <c r="L12" s="9" t="s">
        <v>12</v>
      </c>
      <c r="M12" s="9"/>
      <c r="N12" s="9"/>
      <c r="O12" s="9"/>
    </row>
    <row r="13">
      <c r="C13" s="10" t="s">
        <v>13</v>
      </c>
      <c r="D13" t="s">
        <v>14</v>
      </c>
      <c r="L13" s="11" t="s">
        <v>15</v>
      </c>
      <c r="M13" s="11" t="s">
        <v>16</v>
      </c>
      <c r="N13" s="11" t="s">
        <v>17</v>
      </c>
      <c r="O13" s="11" t="s">
        <v>18</v>
      </c>
    </row>
    <row r="14">
      <c r="C14" s="10" t="s">
        <v>19</v>
      </c>
      <c r="D14" t="s">
        <v>20</v>
      </c>
      <c r="L14" s="2" t="s">
        <v>21</v>
      </c>
      <c r="M14" s="2"/>
      <c r="N14" s="2"/>
      <c r="O14" s="2"/>
    </row>
    <row r="15">
      <c r="C15" s="12" t="s">
        <v>22</v>
      </c>
      <c r="D15" t="s">
        <v>23</v>
      </c>
      <c r="L15" s="2" t="s">
        <v>24</v>
      </c>
      <c r="M15" s="2"/>
      <c r="N15" s="2"/>
      <c r="O15" s="2"/>
    </row>
    <row r="16">
      <c r="C16" s="13" t="s">
        <v>25</v>
      </c>
      <c r="D16" t="s">
        <v>26</v>
      </c>
      <c r="L16" s="2" t="s">
        <v>27</v>
      </c>
      <c r="M16" s="2"/>
      <c r="N16" s="2"/>
      <c r="O16" s="2"/>
    </row>
    <row r="17">
      <c r="C17" s="14" t="s">
        <v>28</v>
      </c>
      <c r="D17" t="s">
        <v>29</v>
      </c>
      <c r="L17" s="2" t="s">
        <v>30</v>
      </c>
      <c r="M17" s="2"/>
      <c r="N17" s="2"/>
      <c r="O17" s="2"/>
    </row>
    <row r="18">
      <c r="L18" s="2" t="s">
        <v>31</v>
      </c>
      <c r="M18" s="2"/>
      <c r="N18" s="2"/>
      <c r="O18" s="2"/>
    </row>
    <row r="19">
      <c r="L19" s="2" t="s">
        <v>32</v>
      </c>
      <c r="M19" s="2"/>
      <c r="N19" s="2"/>
      <c r="O19" s="2"/>
    </row>
    <row r="20">
      <c r="L20" s="2" t="s">
        <v>33</v>
      </c>
      <c r="M20" s="2"/>
      <c r="N20" s="2"/>
      <c r="O20" s="2"/>
    </row>
    <row r="21">
      <c r="L21" s="2" t="s">
        <v>34</v>
      </c>
      <c r="M21" s="2"/>
      <c r="N21" s="2"/>
      <c r="O21" s="2"/>
    </row>
    <row r="22">
      <c r="C22" s="10" t="s">
        <v>13</v>
      </c>
      <c r="L22" s="2" t="s">
        <v>35</v>
      </c>
      <c r="M22" s="2"/>
      <c r="N22" s="2"/>
      <c r="O22" s="2"/>
    </row>
    <row r="23">
      <c r="C23" s="10" t="s">
        <v>19</v>
      </c>
      <c r="L23" s="2" t="s">
        <v>36</v>
      </c>
      <c r="M23" s="2"/>
      <c r="N23" s="2"/>
      <c r="O23" s="2"/>
    </row>
    <row r="24">
      <c r="C24" s="12" t="s">
        <v>22</v>
      </c>
      <c r="L24" s="2" t="s">
        <v>37</v>
      </c>
      <c r="M24" s="2"/>
      <c r="N24" s="2"/>
      <c r="O24" s="2"/>
    </row>
    <row r="25">
      <c r="C25" s="13" t="s">
        <v>25</v>
      </c>
      <c r="L25" s="2" t="s">
        <v>38</v>
      </c>
      <c r="M25" s="2"/>
      <c r="N25" s="2"/>
      <c r="O25" s="2"/>
    </row>
    <row r="26">
      <c r="C26" s="14" t="s">
        <v>28</v>
      </c>
      <c r="L26" s="2" t="s">
        <v>39</v>
      </c>
      <c r="M26" s="2"/>
      <c r="N26" s="2"/>
      <c r="O26" s="2"/>
    </row>
    <row r="27">
      <c r="L27" s="2" t="s">
        <v>40</v>
      </c>
      <c r="M27" s="2"/>
      <c r="N27" s="2"/>
      <c r="O27" s="2"/>
    </row>
    <row r="28">
      <c r="L28" s="2" t="s">
        <v>41</v>
      </c>
      <c r="M28" s="2"/>
      <c r="N28" s="2"/>
      <c r="O28" s="2"/>
    </row>
    <row r="29">
      <c r="L29" s="2" t="s">
        <v>42</v>
      </c>
      <c r="M29" s="2"/>
      <c r="N29" s="2"/>
      <c r="O29" s="2"/>
    </row>
    <row r="30">
      <c r="L30" s="2" t="s">
        <v>43</v>
      </c>
      <c r="M30" s="2"/>
      <c r="N30" s="2"/>
      <c r="O30" s="2"/>
    </row>
    <row r="31">
      <c r="L31" s="2" t="s">
        <v>44</v>
      </c>
      <c r="M31" s="2"/>
      <c r="N31" s="2"/>
      <c r="O31" s="2"/>
    </row>
    <row r="32">
      <c r="L32" s="2" t="s">
        <v>45</v>
      </c>
      <c r="M32" s="2"/>
      <c r="N32" s="2"/>
      <c r="O32" s="2"/>
    </row>
    <row r="33">
      <c r="L33" s="2" t="s">
        <v>46</v>
      </c>
      <c r="M33" s="2"/>
      <c r="N33" s="2"/>
      <c r="O33" s="2"/>
    </row>
  </sheetData>
  <mergeCells count="4">
    <mergeCell ref="B4:C5"/>
    <mergeCell ref="D4:G4"/>
    <mergeCell ref="B6:B10"/>
    <mergeCell ref="L12:O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I3" activeCellId="0" sqref="I3"/>
    </sheetView>
  </sheetViews>
  <sheetFormatPr baseColWidth="10" defaultRowHeight="15"/>
  <cols>
    <col customWidth="1" min="1" max="2" width="29.7109375"/>
    <col customWidth="1" min="3" max="3" width="38.85546875"/>
    <col customWidth="1" min="4" max="4" width="43.140625"/>
    <col customWidth="1" min="5" max="5" width="23.42578125"/>
    <col customWidth="1" min="6" max="6" width="20.5703125"/>
    <col customWidth="1" min="7" max="7" width="29.42578125"/>
    <col customWidth="1" min="8" max="8" width="22.7109375"/>
    <col customWidth="1" min="9" max="9" width="27.28515625"/>
    <col customWidth="1" min="10" max="10" width="30.7109375"/>
    <col customWidth="1" min="11" max="11" width="26.42578125"/>
    <col customWidth="1" min="12" max="12" width="28.7109375"/>
  </cols>
  <sheetData>
    <row r="1" ht="27" customHeight="1">
      <c r="A1" s="15" t="s">
        <v>47</v>
      </c>
      <c r="B1" s="15" t="s">
        <v>48</v>
      </c>
      <c r="C1" s="15" t="s">
        <v>49</v>
      </c>
      <c r="D1" s="15" t="s">
        <v>50</v>
      </c>
      <c r="E1" s="15" t="s">
        <v>51</v>
      </c>
      <c r="F1" s="15" t="s">
        <v>17</v>
      </c>
      <c r="G1" s="15" t="s">
        <v>52</v>
      </c>
      <c r="H1" s="15" t="s">
        <v>18</v>
      </c>
      <c r="I1" s="15" t="s">
        <v>53</v>
      </c>
      <c r="J1" s="15" t="s">
        <v>54</v>
      </c>
      <c r="K1" s="15" t="s">
        <v>55</v>
      </c>
      <c r="L1" s="15" t="s">
        <v>56</v>
      </c>
    </row>
    <row r="2" s="16" customFormat="1" ht="27" customHeight="1">
      <c r="A2" s="17"/>
      <c r="B2" s="17"/>
      <c r="C2" s="17"/>
      <c r="D2" s="17"/>
      <c r="E2" s="17"/>
      <c r="F2" s="17"/>
      <c r="G2" s="17"/>
      <c r="H2" s="17"/>
      <c r="I2" s="17"/>
      <c r="J2" s="16"/>
      <c r="K2" s="16"/>
      <c r="L2" s="16"/>
    </row>
    <row r="3" s="16" customFormat="1" ht="27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="16" customFormat="1" ht="2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="16" customFormat="1" ht="27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="16" customFormat="1" ht="27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="16" customFormat="1" ht="27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="16" customFormat="1" ht="27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="16" customFormat="1" ht="27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="16" customFormat="1" ht="27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="16" customFormat="1" ht="27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16" customFormat="1" ht="27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="16" customFormat="1" ht="27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="16" customFormat="1" ht="27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="16" customFormat="1" ht="27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="16" customFormat="1" ht="27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="16" customFormat="1" ht="27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="16" customFormat="1" ht="27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="16" customFormat="1" ht="27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="16" customFormat="1" ht="27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="16" customFormat="1" ht="27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="16" customFormat="1" ht="27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="16" customFormat="1" ht="27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="16" customFormat="1" ht="27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="16" customFormat="1" ht="27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="16" customFormat="1" ht="27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="16" customFormat="1" ht="27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="16" customFormat="1" ht="27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="16" customFormat="1" ht="27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="16" customFormat="1" ht="27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="16" customFormat="1" ht="27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="16" customFormat="1" ht="27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="16" customFormat="1" ht="27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="16" customFormat="1" ht="27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="16" customFormat="1" ht="27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="16" customFormat="1" ht="27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="16" customFormat="1" ht="27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="16" customFormat="1" ht="27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="16" customFormat="1" ht="27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="16" customFormat="1" ht="27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="16" customFormat="1" ht="27" customHeight="1"/>
    <row r="42" s="16" customFormat="1" ht="27" customHeight="1"/>
    <row r="43" s="16" customFormat="1" ht="27" customHeight="1"/>
    <row r="44" s="16" customFormat="1" ht="27" customHeight="1"/>
    <row r="45" s="16" customFormat="1" ht="27" customHeight="1"/>
    <row r="46" s="16" customFormat="1" ht="27" customHeight="1"/>
    <row r="47" s="16" customFormat="1" ht="27" customHeight="1"/>
    <row r="48" s="16" customFormat="1" ht="27" customHeight="1"/>
    <row r="49" s="16" customFormat="1" ht="27" customHeight="1"/>
    <row r="50" s="16" customFormat="1" ht="27" customHeight="1"/>
    <row r="51" s="16" customFormat="1" ht="27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33" activeCellId="0" sqref="I33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9" activeCellId="0" sqref="H19"/>
    </sheetView>
  </sheetViews>
  <sheetFormatPr baseColWidth="10" defaultRowHeight="15"/>
  <cols>
    <col customWidth="1" min="2" max="2" style="18" width="6.140625"/>
  </cols>
  <sheetData>
    <row r="3" ht="23.25">
      <c r="B3" s="19" t="s">
        <v>57</v>
      </c>
    </row>
    <row r="5">
      <c r="B5" s="20" t="s">
        <v>58</v>
      </c>
      <c r="C5" s="20"/>
      <c r="D5" s="20"/>
      <c r="E5" s="20"/>
    </row>
    <row r="6" ht="27.75" customHeight="1">
      <c r="B6" s="21" t="s">
        <v>59</v>
      </c>
      <c r="C6" s="22" t="s">
        <v>60</v>
      </c>
    </row>
    <row r="7" ht="27.75" customHeight="1">
      <c r="B7" s="21" t="s">
        <v>61</v>
      </c>
      <c r="C7" s="22" t="s">
        <v>62</v>
      </c>
    </row>
    <row r="8" ht="15" customHeight="1">
      <c r="B8" s="20" t="s">
        <v>63</v>
      </c>
      <c r="C8" s="20"/>
      <c r="D8" s="20"/>
      <c r="E8" s="20"/>
    </row>
    <row r="9" ht="27.75" customHeight="1">
      <c r="B9" s="21" t="s">
        <v>64</v>
      </c>
      <c r="C9" s="22" t="s">
        <v>65</v>
      </c>
    </row>
    <row r="10" ht="27.75" customHeight="1">
      <c r="B10" s="21" t="s">
        <v>66</v>
      </c>
      <c r="C10" s="22" t="s">
        <v>67</v>
      </c>
    </row>
    <row r="11" ht="27.75" customHeight="1">
      <c r="B11" s="21" t="s">
        <v>68</v>
      </c>
      <c r="C11" s="22" t="s">
        <v>69</v>
      </c>
    </row>
    <row r="12" ht="27.75" customHeight="1">
      <c r="B12" s="21" t="s">
        <v>70</v>
      </c>
      <c r="C12" s="22" t="s">
        <v>71</v>
      </c>
    </row>
    <row r="13" ht="27.75" customHeight="1">
      <c r="B13" s="21" t="s">
        <v>72</v>
      </c>
      <c r="C13" s="22" t="s">
        <v>73</v>
      </c>
    </row>
    <row r="14" ht="15" customHeight="1">
      <c r="B14" s="20" t="s">
        <v>74</v>
      </c>
      <c r="C14" s="20"/>
      <c r="D14" s="20"/>
      <c r="E14" s="20"/>
    </row>
    <row r="15" ht="27.75" customHeight="1">
      <c r="B15" s="21" t="s">
        <v>75</v>
      </c>
      <c r="C15" s="22" t="s">
        <v>76</v>
      </c>
    </row>
    <row r="16" ht="27.75" customHeight="1">
      <c r="B16" s="21" t="s">
        <v>77</v>
      </c>
      <c r="C16" s="22" t="s">
        <v>78</v>
      </c>
    </row>
    <row r="17" ht="15" customHeight="1">
      <c r="B17" s="20" t="s">
        <v>79</v>
      </c>
      <c r="C17" s="20"/>
      <c r="D17" s="20"/>
      <c r="E17" s="20"/>
    </row>
    <row r="18" ht="27.75" customHeight="1">
      <c r="B18" s="21" t="s">
        <v>80</v>
      </c>
      <c r="C18" s="22" t="s">
        <v>81</v>
      </c>
    </row>
    <row r="19" ht="27.75" customHeight="1"/>
  </sheetData>
  <mergeCells count="1">
    <mergeCell ref="B5:E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23" activeCellId="0" sqref="J23"/>
    </sheetView>
  </sheetViews>
  <sheetFormatPr baseColWidth="10" defaultRowHeight="15"/>
  <cols>
    <col customWidth="1" min="3" max="3" width="39.85546875"/>
    <col customWidth="1" min="4" max="4" width="12.140625"/>
    <col customWidth="1" min="5" max="6" width="11.5703125"/>
    <col customWidth="1" min="9" max="9" width="13.7109375"/>
  </cols>
  <sheetData>
    <row r="5">
      <c r="B5" s="23" t="s">
        <v>82</v>
      </c>
      <c r="C5" s="23" t="s">
        <v>16</v>
      </c>
      <c r="D5" s="23" t="s">
        <v>83</v>
      </c>
      <c r="E5" s="23" t="s">
        <v>84</v>
      </c>
      <c r="F5" s="23" t="s">
        <v>85</v>
      </c>
      <c r="H5" s="23" t="s">
        <v>84</v>
      </c>
      <c r="I5" s="23" t="s">
        <v>16</v>
      </c>
    </row>
    <row r="6">
      <c r="C6" t="s">
        <v>86</v>
      </c>
      <c r="D6" s="24">
        <v>3</v>
      </c>
      <c r="E6" s="24">
        <v>3</v>
      </c>
      <c r="F6" s="24">
        <f t="shared" ref="F6:F9" si="0">D6*E6</f>
        <v>9</v>
      </c>
      <c r="H6" s="24">
        <v>0</v>
      </c>
      <c r="I6" t="s">
        <v>87</v>
      </c>
    </row>
    <row r="7">
      <c r="C7" t="s">
        <v>88</v>
      </c>
      <c r="D7" s="24">
        <v>3</v>
      </c>
      <c r="E7" s="24">
        <v>3</v>
      </c>
      <c r="F7" s="24">
        <f t="shared" si="0"/>
        <v>9</v>
      </c>
      <c r="H7" s="24">
        <v>1</v>
      </c>
      <c r="I7" t="s">
        <v>10</v>
      </c>
    </row>
    <row r="8">
      <c r="C8" t="s">
        <v>89</v>
      </c>
      <c r="D8" s="24">
        <v>3</v>
      </c>
      <c r="E8" s="24">
        <v>3</v>
      </c>
      <c r="F8" s="24">
        <f t="shared" si="0"/>
        <v>9</v>
      </c>
      <c r="H8" s="24">
        <v>2</v>
      </c>
      <c r="I8" t="s">
        <v>9</v>
      </c>
    </row>
    <row r="9">
      <c r="C9" t="s">
        <v>90</v>
      </c>
      <c r="D9" s="24">
        <v>3</v>
      </c>
      <c r="E9" s="24">
        <v>3</v>
      </c>
      <c r="F9" s="24">
        <f t="shared" si="0"/>
        <v>9</v>
      </c>
      <c r="H9" s="24">
        <v>3</v>
      </c>
      <c r="I9" t="s">
        <v>8</v>
      </c>
    </row>
    <row r="10">
      <c r="C10" t="s">
        <v>91</v>
      </c>
      <c r="D10" s="24">
        <v>3</v>
      </c>
      <c r="E10" s="24">
        <v>3</v>
      </c>
      <c r="F10" s="24">
        <f t="shared" ref="F10:F16" si="1">D10*E10</f>
        <v>9</v>
      </c>
    </row>
    <row r="11">
      <c r="C11" t="s">
        <v>92</v>
      </c>
      <c r="D11" s="24">
        <v>3</v>
      </c>
      <c r="E11" s="24">
        <v>3</v>
      </c>
      <c r="F11" s="24">
        <f t="shared" si="1"/>
        <v>9</v>
      </c>
    </row>
    <row r="12">
      <c r="C12" t="s">
        <v>93</v>
      </c>
      <c r="D12" s="24">
        <v>3</v>
      </c>
      <c r="E12" s="24">
        <v>3</v>
      </c>
      <c r="F12" s="24">
        <f t="shared" si="1"/>
        <v>9</v>
      </c>
      <c r="H12" s="23" t="s">
        <v>85</v>
      </c>
      <c r="I12" s="23" t="s">
        <v>16</v>
      </c>
    </row>
    <row r="13">
      <c r="C13" t="s">
        <v>94</v>
      </c>
      <c r="D13" s="24">
        <v>3</v>
      </c>
      <c r="E13" s="24">
        <v>3</v>
      </c>
      <c r="F13" s="24">
        <f t="shared" si="1"/>
        <v>9</v>
      </c>
      <c r="H13" s="24">
        <v>0</v>
      </c>
      <c r="I13" t="s">
        <v>87</v>
      </c>
    </row>
    <row r="14">
      <c r="C14" t="s">
        <v>95</v>
      </c>
      <c r="D14" s="24">
        <v>3</v>
      </c>
      <c r="E14" s="24">
        <v>3</v>
      </c>
      <c r="F14" s="24">
        <f t="shared" si="1"/>
        <v>9</v>
      </c>
      <c r="H14" s="25" t="s">
        <v>96</v>
      </c>
      <c r="I14" t="s">
        <v>11</v>
      </c>
    </row>
    <row r="15">
      <c r="C15" t="s">
        <v>97</v>
      </c>
      <c r="D15" s="24">
        <v>3</v>
      </c>
      <c r="E15" s="24">
        <v>3</v>
      </c>
      <c r="F15" s="24">
        <f t="shared" si="1"/>
        <v>9</v>
      </c>
      <c r="H15" s="25" t="s">
        <v>98</v>
      </c>
      <c r="I15" t="s">
        <v>10</v>
      </c>
    </row>
    <row r="16">
      <c r="C16" t="s">
        <v>99</v>
      </c>
      <c r="D16" s="24">
        <v>3</v>
      </c>
      <c r="E16" s="24">
        <v>3</v>
      </c>
      <c r="F16" s="24">
        <f t="shared" si="1"/>
        <v>9</v>
      </c>
      <c r="H16" s="25" t="s">
        <v>100</v>
      </c>
      <c r="I16" t="s">
        <v>9</v>
      </c>
    </row>
    <row r="17">
      <c r="C17" s="26" t="s">
        <v>101</v>
      </c>
      <c r="D17" s="26"/>
      <c r="F17" s="27">
        <f>AVERAGE(F6:F16)</f>
        <v>9</v>
      </c>
      <c r="H17" s="25" t="s">
        <v>102</v>
      </c>
      <c r="I17" t="s">
        <v>8</v>
      </c>
    </row>
    <row r="18">
      <c r="F18" s="27"/>
      <c r="H18" s="25" t="s">
        <v>103</v>
      </c>
      <c r="I18" t="s">
        <v>7</v>
      </c>
    </row>
    <row r="21">
      <c r="B21" t="s">
        <v>104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40087-00EE-48C7-8F51-006800590052}" type="list" allowBlank="1" errorStyle="stop" imeMode="noControl" operator="between" showDropDown="0" showErrorMessage="1" showInputMessage="1">
          <x14:formula1>
            <xm:f>"0,1,2,3"</xm:f>
          </x14:formula1>
          <xm:sqref>D6:E16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1" zoomScale="100" workbookViewId="0">
      <selection activeCell="M21" activeCellId="0" sqref="M21"/>
    </sheetView>
  </sheetViews>
  <sheetFormatPr baseColWidth="10" defaultColWidth="9.140625" defaultRowHeight="15"/>
  <cols>
    <col customWidth="1" min="1" max="1" style="29" width="52.140625"/>
    <col customWidth="1" min="2" max="10" style="30" width="8"/>
    <col customWidth="1" min="11" max="13" style="31" width="8"/>
    <col min="14" max="16384" style="28" width="9.140625"/>
  </cols>
  <sheetData>
    <row r="1" s="32" customFormat="1" ht="27" customHeight="1">
      <c r="A1" s="33" t="s">
        <v>105</v>
      </c>
      <c r="B1" s="34" t="s">
        <v>106</v>
      </c>
      <c r="C1" s="34"/>
      <c r="D1" s="34"/>
      <c r="E1" s="34"/>
      <c r="F1" s="34"/>
      <c r="G1" s="34"/>
      <c r="H1" s="34"/>
      <c r="I1" s="34"/>
      <c r="J1" s="35"/>
      <c r="K1" s="36" t="s">
        <v>107</v>
      </c>
      <c r="L1" s="36"/>
      <c r="M1" s="36"/>
    </row>
    <row r="2" s="37" customFormat="1" ht="27" customHeight="1">
      <c r="A2" s="38" t="s">
        <v>108</v>
      </c>
      <c r="B2" s="39" t="s">
        <v>80</v>
      </c>
      <c r="C2" s="39" t="s">
        <v>75</v>
      </c>
      <c r="D2" s="39" t="s">
        <v>72</v>
      </c>
      <c r="E2" s="39" t="s">
        <v>70</v>
      </c>
      <c r="F2" s="39" t="s">
        <v>64</v>
      </c>
      <c r="G2" s="39" t="s">
        <v>68</v>
      </c>
      <c r="H2" s="39" t="s">
        <v>66</v>
      </c>
      <c r="I2" s="39" t="s">
        <v>59</v>
      </c>
      <c r="J2" s="39" t="s">
        <v>61</v>
      </c>
      <c r="K2" s="40" t="s">
        <v>109</v>
      </c>
      <c r="L2" s="40" t="s">
        <v>110</v>
      </c>
      <c r="M2" s="40" t="s">
        <v>25</v>
      </c>
      <c r="O2" s="37" t="s">
        <v>111</v>
      </c>
    </row>
    <row r="3" s="37" customFormat="1" ht="27" customHeight="1">
      <c r="A3" s="41" t="s">
        <v>112</v>
      </c>
      <c r="B3" s="42"/>
      <c r="C3" s="42"/>
      <c r="D3" s="42"/>
      <c r="E3" s="43" t="s">
        <v>113</v>
      </c>
      <c r="F3" s="43" t="s">
        <v>113</v>
      </c>
      <c r="G3" s="43" t="s">
        <v>113</v>
      </c>
      <c r="H3" s="43" t="s">
        <v>113</v>
      </c>
      <c r="I3" s="43" t="s">
        <v>113</v>
      </c>
      <c r="J3" s="42"/>
      <c r="K3" s="44"/>
      <c r="L3" s="44"/>
      <c r="M3" s="45" t="s">
        <v>114</v>
      </c>
      <c r="O3" s="37" t="s">
        <v>115</v>
      </c>
    </row>
    <row r="4" s="37" customFormat="1" ht="27" customHeight="1">
      <c r="A4" s="41" t="s">
        <v>116</v>
      </c>
      <c r="B4" s="42"/>
      <c r="C4" s="42"/>
      <c r="D4" s="42"/>
      <c r="E4" s="43" t="s">
        <v>113</v>
      </c>
      <c r="F4" s="43" t="s">
        <v>113</v>
      </c>
      <c r="G4" s="43" t="s">
        <v>113</v>
      </c>
      <c r="H4" s="43" t="s">
        <v>113</v>
      </c>
      <c r="I4" s="43" t="s">
        <v>113</v>
      </c>
      <c r="J4" s="42"/>
      <c r="K4" s="44"/>
      <c r="L4" s="44"/>
      <c r="M4" s="45" t="s">
        <v>114</v>
      </c>
      <c r="O4" s="37" t="s">
        <v>117</v>
      </c>
    </row>
    <row r="5" s="37" customFormat="1" ht="27" customHeight="1">
      <c r="A5" s="41" t="s">
        <v>118</v>
      </c>
      <c r="B5" s="42"/>
      <c r="C5" s="42"/>
      <c r="D5" s="42"/>
      <c r="E5" s="43" t="s">
        <v>113</v>
      </c>
      <c r="F5" s="43" t="s">
        <v>113</v>
      </c>
      <c r="G5" s="43" t="s">
        <v>113</v>
      </c>
      <c r="H5" s="43" t="s">
        <v>113</v>
      </c>
      <c r="I5" s="43" t="s">
        <v>113</v>
      </c>
      <c r="J5" s="42"/>
      <c r="K5" s="44"/>
      <c r="L5" s="44"/>
      <c r="M5" s="45" t="s">
        <v>114</v>
      </c>
      <c r="O5" s="37" t="s">
        <v>119</v>
      </c>
    </row>
    <row r="6" s="37" customFormat="1" ht="27" customHeight="1">
      <c r="A6" s="38" t="s">
        <v>120</v>
      </c>
      <c r="B6" s="39" t="s">
        <v>80</v>
      </c>
      <c r="C6" s="39" t="s">
        <v>75</v>
      </c>
      <c r="D6" s="39" t="s">
        <v>72</v>
      </c>
      <c r="E6" s="39" t="s">
        <v>70</v>
      </c>
      <c r="F6" s="39" t="s">
        <v>64</v>
      </c>
      <c r="G6" s="39" t="s">
        <v>68</v>
      </c>
      <c r="H6" s="39" t="s">
        <v>66</v>
      </c>
      <c r="I6" s="39" t="s">
        <v>59</v>
      </c>
      <c r="J6" s="39" t="s">
        <v>61</v>
      </c>
      <c r="K6" s="46" t="s">
        <v>109</v>
      </c>
      <c r="L6" s="46" t="s">
        <v>110</v>
      </c>
      <c r="M6" s="46" t="s">
        <v>25</v>
      </c>
      <c r="O6" s="37" t="s">
        <v>121</v>
      </c>
    </row>
    <row r="7" s="37" customFormat="1" ht="27" customHeight="1">
      <c r="A7" s="41" t="s">
        <v>112</v>
      </c>
      <c r="B7" s="42"/>
      <c r="C7" s="42"/>
      <c r="D7" s="42"/>
      <c r="E7" s="43" t="s">
        <v>113</v>
      </c>
      <c r="F7" s="43" t="s">
        <v>113</v>
      </c>
      <c r="G7" s="43" t="s">
        <v>113</v>
      </c>
      <c r="H7" s="43" t="s">
        <v>113</v>
      </c>
      <c r="I7" s="43" t="s">
        <v>113</v>
      </c>
      <c r="J7" s="42"/>
      <c r="K7" s="44"/>
      <c r="L7" s="44"/>
      <c r="M7" s="45" t="s">
        <v>114</v>
      </c>
      <c r="O7" s="37" t="s">
        <v>122</v>
      </c>
    </row>
    <row r="8" s="37" customFormat="1" ht="27" customHeight="1">
      <c r="A8" s="41" t="s">
        <v>116</v>
      </c>
      <c r="B8" s="42"/>
      <c r="C8" s="42"/>
      <c r="D8" s="42"/>
      <c r="E8" s="43" t="s">
        <v>113</v>
      </c>
      <c r="F8" s="43" t="s">
        <v>113</v>
      </c>
      <c r="G8" s="43" t="s">
        <v>113</v>
      </c>
      <c r="H8" s="43" t="s">
        <v>113</v>
      </c>
      <c r="I8" s="43" t="s">
        <v>113</v>
      </c>
      <c r="J8" s="42"/>
      <c r="K8" s="44"/>
      <c r="L8" s="44"/>
      <c r="M8" s="45" t="s">
        <v>114</v>
      </c>
      <c r="O8" s="37" t="s">
        <v>123</v>
      </c>
    </row>
    <row r="9" s="37" customFormat="1" ht="27" customHeight="1">
      <c r="A9" s="41" t="s">
        <v>124</v>
      </c>
      <c r="B9" s="42"/>
      <c r="C9" s="42"/>
      <c r="D9" s="42"/>
      <c r="E9" s="43" t="s">
        <v>113</v>
      </c>
      <c r="F9" s="43" t="s">
        <v>113</v>
      </c>
      <c r="G9" s="43" t="s">
        <v>113</v>
      </c>
      <c r="H9" s="43" t="s">
        <v>113</v>
      </c>
      <c r="I9" s="43" t="s">
        <v>113</v>
      </c>
      <c r="J9" s="42"/>
      <c r="K9" s="44"/>
      <c r="L9" s="44"/>
      <c r="M9" s="45" t="s">
        <v>114</v>
      </c>
      <c r="O9" s="37" t="s">
        <v>125</v>
      </c>
    </row>
    <row r="10" s="37" customFormat="1" ht="27" customHeight="1">
      <c r="A10" s="41" t="s">
        <v>126</v>
      </c>
      <c r="B10" s="42"/>
      <c r="C10" s="42"/>
      <c r="D10" s="42"/>
      <c r="E10" s="43" t="s">
        <v>113</v>
      </c>
      <c r="F10" s="43" t="s">
        <v>113</v>
      </c>
      <c r="G10" s="43" t="s">
        <v>113</v>
      </c>
      <c r="H10" s="43" t="s">
        <v>113</v>
      </c>
      <c r="I10" s="42"/>
      <c r="J10" s="42"/>
      <c r="K10" s="44"/>
      <c r="L10" s="44"/>
      <c r="M10" s="45" t="s">
        <v>114</v>
      </c>
      <c r="O10" s="37" t="s">
        <v>127</v>
      </c>
    </row>
    <row r="11" s="37" customFormat="1" ht="27" customHeight="1">
      <c r="A11" s="47" t="s">
        <v>128</v>
      </c>
      <c r="B11" s="42"/>
      <c r="C11" s="42"/>
      <c r="D11" s="42"/>
      <c r="E11" s="43" t="s">
        <v>113</v>
      </c>
      <c r="F11" s="43" t="s">
        <v>113</v>
      </c>
      <c r="G11" s="43" t="s">
        <v>113</v>
      </c>
      <c r="H11" s="43" t="s">
        <v>113</v>
      </c>
      <c r="I11" s="42"/>
      <c r="J11" s="42"/>
      <c r="K11" s="44"/>
      <c r="L11" s="44"/>
      <c r="M11" s="45" t="s">
        <v>114</v>
      </c>
    </row>
    <row r="12" s="37" customFormat="1" ht="27" customHeight="1">
      <c r="A12" s="47" t="s">
        <v>129</v>
      </c>
      <c r="B12" s="42"/>
      <c r="C12" s="42"/>
      <c r="D12" s="43" t="s">
        <v>113</v>
      </c>
      <c r="E12" s="43" t="s">
        <v>113</v>
      </c>
      <c r="F12" s="43" t="s">
        <v>113</v>
      </c>
      <c r="G12" s="43" t="s">
        <v>113</v>
      </c>
      <c r="H12" s="43" t="s">
        <v>113</v>
      </c>
      <c r="I12" s="42"/>
      <c r="J12" s="42"/>
      <c r="K12" s="44"/>
      <c r="L12" s="44"/>
      <c r="M12" s="45" t="s">
        <v>114</v>
      </c>
      <c r="O12" s="48" t="s">
        <v>130</v>
      </c>
      <c r="P12" s="48"/>
      <c r="Q12" s="48"/>
      <c r="R12" s="48"/>
      <c r="S12" s="48"/>
      <c r="T12" s="48"/>
    </row>
    <row r="13" s="37" customFormat="1" ht="27" customHeight="1">
      <c r="A13" s="47" t="s">
        <v>131</v>
      </c>
      <c r="B13" s="42"/>
      <c r="C13" s="42"/>
      <c r="D13" s="42"/>
      <c r="E13" s="43" t="s">
        <v>113</v>
      </c>
      <c r="F13" s="43" t="s">
        <v>113</v>
      </c>
      <c r="G13" s="43" t="s">
        <v>113</v>
      </c>
      <c r="H13" s="43" t="s">
        <v>113</v>
      </c>
      <c r="I13" s="42"/>
      <c r="J13" s="42"/>
      <c r="K13" s="44"/>
      <c r="L13" s="44"/>
      <c r="M13" s="45" t="s">
        <v>114</v>
      </c>
      <c r="O13" s="48"/>
      <c r="P13" s="48"/>
      <c r="Q13" s="48"/>
      <c r="R13" s="48"/>
      <c r="S13" s="48"/>
      <c r="T13" s="48"/>
    </row>
    <row r="14" s="37" customFormat="1" ht="27" customHeight="1">
      <c r="A14" s="49" t="s">
        <v>132</v>
      </c>
      <c r="B14" s="50"/>
      <c r="C14" s="50"/>
      <c r="D14" s="50"/>
      <c r="E14" s="51" t="s">
        <v>113</v>
      </c>
      <c r="F14" s="51" t="s">
        <v>113</v>
      </c>
      <c r="G14" s="51" t="s">
        <v>113</v>
      </c>
      <c r="H14" s="51" t="s">
        <v>113</v>
      </c>
      <c r="I14" s="50"/>
      <c r="J14" s="50"/>
      <c r="K14" s="52"/>
      <c r="L14" s="52"/>
      <c r="M14" s="53" t="s">
        <v>114</v>
      </c>
      <c r="O14" s="48"/>
      <c r="P14" s="48"/>
      <c r="Q14" s="48"/>
      <c r="R14" s="48"/>
      <c r="S14" s="48"/>
      <c r="T14" s="48"/>
    </row>
    <row r="15" s="37" customFormat="1" ht="27" customHeight="1">
      <c r="A15" s="47" t="s">
        <v>133</v>
      </c>
      <c r="B15" s="42"/>
      <c r="C15" s="42"/>
      <c r="D15" s="42"/>
      <c r="E15" s="42"/>
      <c r="F15" s="43" t="s">
        <v>113</v>
      </c>
      <c r="G15" s="42"/>
      <c r="H15" s="42"/>
      <c r="I15" s="42"/>
      <c r="J15" s="42"/>
      <c r="K15" s="44"/>
      <c r="L15" s="44"/>
      <c r="M15" s="45" t="s">
        <v>114</v>
      </c>
      <c r="O15" s="48"/>
      <c r="P15" s="48"/>
      <c r="Q15" s="48"/>
      <c r="R15" s="48"/>
      <c r="S15" s="48"/>
      <c r="T15" s="48"/>
    </row>
    <row r="16" s="37" customFormat="1" ht="27" customHeight="1">
      <c r="A16" s="47" t="s">
        <v>134</v>
      </c>
      <c r="B16" s="42"/>
      <c r="C16" s="42"/>
      <c r="D16" s="42"/>
      <c r="E16" s="42"/>
      <c r="F16" s="42"/>
      <c r="G16" s="42"/>
      <c r="H16" s="43" t="s">
        <v>113</v>
      </c>
      <c r="I16" s="42"/>
      <c r="J16" s="42"/>
      <c r="K16" s="44"/>
      <c r="L16" s="44"/>
      <c r="M16" s="45" t="s">
        <v>114</v>
      </c>
      <c r="O16" s="54"/>
      <c r="P16" s="54"/>
      <c r="Q16" s="54"/>
      <c r="R16" s="54"/>
      <c r="S16" s="54"/>
    </row>
    <row r="17" s="37" customFormat="1" ht="27" customHeight="1">
      <c r="A17" s="47" t="s">
        <v>135</v>
      </c>
      <c r="B17" s="42"/>
      <c r="C17" s="42"/>
      <c r="D17" s="42"/>
      <c r="E17" s="42"/>
      <c r="F17" s="42"/>
      <c r="G17" s="43" t="s">
        <v>113</v>
      </c>
      <c r="H17" s="42"/>
      <c r="I17" s="42"/>
      <c r="J17" s="42"/>
      <c r="K17" s="44"/>
      <c r="L17" s="44"/>
      <c r="M17" s="45" t="s">
        <v>114</v>
      </c>
      <c r="O17" s="54"/>
      <c r="P17" s="54"/>
      <c r="Q17" s="54"/>
      <c r="R17" s="54"/>
      <c r="S17" s="54"/>
    </row>
    <row r="18" s="37" customFormat="1" ht="27" customHeight="1">
      <c r="A18" s="47" t="s">
        <v>136</v>
      </c>
      <c r="B18" s="42"/>
      <c r="C18" s="42"/>
      <c r="D18" s="42"/>
      <c r="E18" s="43" t="s">
        <v>113</v>
      </c>
      <c r="F18" s="43" t="s">
        <v>113</v>
      </c>
      <c r="G18" s="42"/>
      <c r="H18" s="42"/>
      <c r="I18" s="43" t="s">
        <v>113</v>
      </c>
      <c r="J18" s="42"/>
      <c r="K18" s="45" t="s">
        <v>114</v>
      </c>
      <c r="L18" s="44"/>
      <c r="M18" s="44"/>
      <c r="O18" s="54"/>
      <c r="P18" s="54"/>
      <c r="Q18" s="54"/>
      <c r="R18" s="54"/>
      <c r="S18" s="54"/>
    </row>
    <row r="19" s="37" customFormat="1" ht="27" customHeight="1">
      <c r="A19" s="38" t="s">
        <v>137</v>
      </c>
      <c r="B19" s="39" t="s">
        <v>80</v>
      </c>
      <c r="C19" s="39" t="s">
        <v>75</v>
      </c>
      <c r="D19" s="39" t="s">
        <v>72</v>
      </c>
      <c r="E19" s="39" t="s">
        <v>70</v>
      </c>
      <c r="F19" s="39" t="s">
        <v>64</v>
      </c>
      <c r="G19" s="39" t="s">
        <v>68</v>
      </c>
      <c r="H19" s="39" t="s">
        <v>66</v>
      </c>
      <c r="I19" s="39" t="s">
        <v>59</v>
      </c>
      <c r="J19" s="39" t="s">
        <v>61</v>
      </c>
      <c r="K19" s="46" t="s">
        <v>109</v>
      </c>
      <c r="L19" s="46" t="s">
        <v>110</v>
      </c>
      <c r="M19" s="46" t="s">
        <v>25</v>
      </c>
    </row>
    <row r="20" s="37" customFormat="1" ht="27" customHeight="1">
      <c r="A20" s="47" t="s">
        <v>138</v>
      </c>
      <c r="B20" s="55" t="s">
        <v>113</v>
      </c>
      <c r="C20" s="55" t="s">
        <v>113</v>
      </c>
      <c r="D20" s="55" t="s">
        <v>113</v>
      </c>
      <c r="E20" s="42"/>
      <c r="F20" s="42"/>
      <c r="G20" s="42"/>
      <c r="H20" s="42"/>
      <c r="I20" s="42"/>
      <c r="J20" s="42"/>
      <c r="K20" s="44"/>
      <c r="L20" s="56">
        <v>1</v>
      </c>
      <c r="M20" s="56">
        <v>2</v>
      </c>
    </row>
    <row r="21" s="37" customFormat="1" ht="27" customHeight="1">
      <c r="A21" s="41" t="s">
        <v>139</v>
      </c>
      <c r="B21" s="43" t="s">
        <v>113</v>
      </c>
      <c r="C21" s="43" t="s">
        <v>113</v>
      </c>
      <c r="D21" s="43" t="s">
        <v>113</v>
      </c>
      <c r="E21" s="43" t="s">
        <v>113</v>
      </c>
      <c r="F21" s="43" t="s">
        <v>113</v>
      </c>
      <c r="G21" s="42"/>
      <c r="H21" s="42"/>
      <c r="I21" s="42"/>
      <c r="J21" s="42"/>
      <c r="K21" s="45" t="s">
        <v>140</v>
      </c>
      <c r="L21" s="45" t="s">
        <v>141</v>
      </c>
      <c r="M21" s="45" t="s">
        <v>114</v>
      </c>
    </row>
    <row r="22" s="37" customFormat="1" ht="27" customHeight="1">
      <c r="A22" s="41" t="s">
        <v>142</v>
      </c>
      <c r="B22" s="43" t="s">
        <v>113</v>
      </c>
      <c r="C22" s="43" t="s">
        <v>113</v>
      </c>
      <c r="D22" s="43" t="s">
        <v>113</v>
      </c>
      <c r="E22" s="42"/>
      <c r="F22" s="42"/>
      <c r="G22" s="42"/>
      <c r="H22" s="42"/>
      <c r="I22" s="42"/>
      <c r="J22" s="42"/>
      <c r="K22" s="44"/>
      <c r="L22" s="44"/>
      <c r="M22" s="44"/>
    </row>
    <row r="23" s="37" customFormat="1" ht="27" customHeight="1">
      <c r="A23" s="41" t="s">
        <v>143</v>
      </c>
      <c r="B23" s="43" t="s">
        <v>113</v>
      </c>
      <c r="C23" s="43" t="s">
        <v>113</v>
      </c>
      <c r="D23" s="43" t="s">
        <v>113</v>
      </c>
      <c r="E23" s="43" t="s">
        <v>113</v>
      </c>
      <c r="F23" s="43" t="s">
        <v>113</v>
      </c>
      <c r="G23" s="42"/>
      <c r="H23" s="42"/>
      <c r="I23" s="42"/>
      <c r="J23" s="42"/>
      <c r="K23" s="45" t="s">
        <v>140</v>
      </c>
      <c r="L23" s="45" t="s">
        <v>141</v>
      </c>
      <c r="M23" s="45" t="s">
        <v>114</v>
      </c>
    </row>
    <row r="24" s="37" customFormat="1" ht="27" customHeight="1">
      <c r="A24" s="47" t="s">
        <v>144</v>
      </c>
      <c r="B24" s="42"/>
      <c r="C24" s="42"/>
      <c r="D24" s="42"/>
      <c r="E24" s="42"/>
      <c r="F24" s="42"/>
      <c r="G24" s="42"/>
      <c r="H24" s="42"/>
      <c r="I24" s="42"/>
      <c r="J24" s="43" t="s">
        <v>113</v>
      </c>
      <c r="K24" s="44"/>
      <c r="L24" s="44"/>
      <c r="M24" s="45" t="s">
        <v>114</v>
      </c>
    </row>
    <row r="25" s="37" customFormat="1" ht="27" customHeight="1">
      <c r="A25" s="41" t="s">
        <v>145</v>
      </c>
      <c r="B25" s="42"/>
      <c r="C25" s="42"/>
      <c r="D25" s="43" t="s">
        <v>113</v>
      </c>
      <c r="E25" s="42"/>
      <c r="F25" s="42"/>
      <c r="G25" s="42"/>
      <c r="H25" s="42"/>
      <c r="I25" s="42"/>
      <c r="J25" s="42"/>
      <c r="K25" s="45" t="s">
        <v>140</v>
      </c>
      <c r="L25" s="45" t="s">
        <v>141</v>
      </c>
      <c r="M25" s="45" t="s">
        <v>114</v>
      </c>
    </row>
    <row r="26" s="37" customFormat="1" ht="27" customHeight="1">
      <c r="A26" s="47" t="s">
        <v>146</v>
      </c>
      <c r="B26" s="43" t="s">
        <v>113</v>
      </c>
      <c r="C26" s="42"/>
      <c r="D26" s="43" t="s">
        <v>113</v>
      </c>
      <c r="E26" s="42"/>
      <c r="F26" s="43" t="s">
        <v>113</v>
      </c>
      <c r="G26" s="42"/>
      <c r="H26" s="42"/>
      <c r="I26" s="42"/>
      <c r="J26" s="42"/>
      <c r="K26" s="45" t="s">
        <v>114</v>
      </c>
      <c r="L26" s="45" t="s">
        <v>141</v>
      </c>
      <c r="M26" s="44"/>
    </row>
    <row r="27" s="37" customFormat="1" ht="27" customHeight="1">
      <c r="A27" s="47" t="s">
        <v>147</v>
      </c>
      <c r="B27" s="55" t="s">
        <v>113</v>
      </c>
      <c r="C27" s="42"/>
      <c r="D27" s="55" t="s">
        <v>113</v>
      </c>
      <c r="E27" s="42"/>
      <c r="F27" s="55" t="s">
        <v>113</v>
      </c>
      <c r="G27" s="42"/>
      <c r="H27" s="42"/>
      <c r="I27" s="42"/>
      <c r="J27" s="42"/>
      <c r="K27" s="44"/>
      <c r="L27" s="56">
        <v>1</v>
      </c>
      <c r="M27" s="44"/>
    </row>
    <row r="28" s="37" customFormat="1" ht="27" customHeight="1">
      <c r="A28" s="47" t="s">
        <v>148</v>
      </c>
      <c r="B28" s="42"/>
      <c r="C28" s="55" t="s">
        <v>113</v>
      </c>
      <c r="D28" s="55" t="s">
        <v>113</v>
      </c>
      <c r="E28" s="42"/>
      <c r="F28" s="55" t="s">
        <v>113</v>
      </c>
      <c r="G28" s="42"/>
      <c r="H28" s="42"/>
      <c r="I28" s="42"/>
      <c r="J28" s="42"/>
      <c r="K28" s="56">
        <v>1</v>
      </c>
      <c r="L28" s="44"/>
      <c r="M28" s="44"/>
    </row>
    <row r="29" s="37" customFormat="1" ht="27" customHeight="1">
      <c r="A29" s="47" t="s">
        <v>149</v>
      </c>
      <c r="B29" s="42"/>
      <c r="C29" s="55" t="s">
        <v>113</v>
      </c>
      <c r="D29" s="42"/>
      <c r="E29" s="42"/>
      <c r="F29" s="42"/>
      <c r="G29" s="42"/>
      <c r="H29" s="42"/>
      <c r="I29" s="42"/>
      <c r="J29" s="42"/>
      <c r="K29" s="44"/>
      <c r="L29" s="56">
        <v>1</v>
      </c>
      <c r="M29" s="44"/>
    </row>
    <row r="30" s="37" customFormat="1" ht="27" customHeight="1">
      <c r="A30" s="47" t="s">
        <v>150</v>
      </c>
      <c r="B30" s="42"/>
      <c r="C30" s="43" t="s">
        <v>113</v>
      </c>
      <c r="D30" s="42"/>
      <c r="E30" s="42"/>
      <c r="F30" s="42"/>
      <c r="G30" s="42"/>
      <c r="H30" s="42"/>
      <c r="I30" s="42"/>
      <c r="J30" s="42"/>
      <c r="K30" s="44"/>
      <c r="L30" s="45" t="s">
        <v>114</v>
      </c>
      <c r="M30" s="44"/>
    </row>
    <row r="31" s="37" customFormat="1" ht="27" customHeight="1">
      <c r="A31" s="47" t="s">
        <v>151</v>
      </c>
      <c r="B31" s="42"/>
      <c r="C31" s="43" t="s">
        <v>113</v>
      </c>
      <c r="D31" s="42"/>
      <c r="E31" s="42"/>
      <c r="F31" s="42"/>
      <c r="G31" s="42"/>
      <c r="H31" s="42"/>
      <c r="I31" s="42"/>
      <c r="J31" s="42"/>
      <c r="K31" s="44"/>
      <c r="L31" s="45" t="s">
        <v>114</v>
      </c>
      <c r="M31" s="44"/>
    </row>
    <row r="32" s="37" customFormat="1" ht="27" customHeight="1">
      <c r="A32" s="47" t="s">
        <v>152</v>
      </c>
      <c r="B32" s="42"/>
      <c r="C32" s="43" t="s">
        <v>113</v>
      </c>
      <c r="D32" s="42"/>
      <c r="E32" s="42"/>
      <c r="F32" s="42"/>
      <c r="G32" s="42"/>
      <c r="H32" s="42"/>
      <c r="I32" s="42"/>
      <c r="J32" s="42"/>
      <c r="K32" s="44"/>
      <c r="L32" s="44"/>
      <c r="M32" s="45" t="s">
        <v>114</v>
      </c>
    </row>
    <row r="33" s="37" customFormat="1" ht="27" customHeight="1">
      <c r="A33" s="47" t="s">
        <v>153</v>
      </c>
      <c r="B33" s="42"/>
      <c r="C33" s="55" t="s">
        <v>113</v>
      </c>
      <c r="D33" s="42"/>
      <c r="E33" s="42"/>
      <c r="F33" s="42"/>
      <c r="G33" s="42"/>
      <c r="H33" s="42"/>
      <c r="I33" s="42"/>
      <c r="J33" s="42"/>
      <c r="K33" s="56">
        <v>1</v>
      </c>
      <c r="L33" s="44"/>
      <c r="M33" s="44"/>
    </row>
    <row r="34" s="37" customFormat="1" ht="27" customHeight="1">
      <c r="A34" s="47" t="s">
        <v>154</v>
      </c>
      <c r="B34" s="42"/>
      <c r="C34" s="42"/>
      <c r="D34" s="43" t="s">
        <v>113</v>
      </c>
      <c r="E34" s="42"/>
      <c r="F34" s="42"/>
      <c r="G34" s="42"/>
      <c r="H34" s="42"/>
      <c r="I34" s="42"/>
      <c r="J34" s="42"/>
      <c r="K34" s="45" t="s">
        <v>140</v>
      </c>
      <c r="L34" s="45" t="s">
        <v>114</v>
      </c>
      <c r="M34" s="45" t="s">
        <v>141</v>
      </c>
    </row>
    <row r="35" s="37" customFormat="1" ht="27" customHeight="1">
      <c r="A35" s="47" t="s">
        <v>155</v>
      </c>
      <c r="B35" s="42"/>
      <c r="C35" s="42"/>
      <c r="D35" s="43" t="s">
        <v>113</v>
      </c>
      <c r="E35" s="42"/>
      <c r="F35" s="42"/>
      <c r="G35" s="42"/>
      <c r="H35" s="42"/>
      <c r="I35" s="42"/>
      <c r="J35" s="42"/>
      <c r="K35" s="44"/>
      <c r="L35" s="45" t="s">
        <v>114</v>
      </c>
      <c r="M35" s="45" t="s">
        <v>141</v>
      </c>
    </row>
    <row r="36" s="37" customFormat="1" ht="27" customHeight="1">
      <c r="A36" s="47" t="s">
        <v>156</v>
      </c>
      <c r="B36" s="42"/>
      <c r="C36" s="42"/>
      <c r="D36" s="42"/>
      <c r="E36" s="43" t="s">
        <v>113</v>
      </c>
      <c r="F36" s="42"/>
      <c r="G36" s="42"/>
      <c r="H36" s="42"/>
      <c r="I36" s="42"/>
      <c r="J36" s="42"/>
      <c r="K36" s="44"/>
      <c r="L36" s="44"/>
      <c r="M36" s="45" t="s">
        <v>114</v>
      </c>
    </row>
    <row r="37" s="37" customFormat="1" ht="27" customHeight="1">
      <c r="A37" s="47" t="s">
        <v>157</v>
      </c>
      <c r="B37" s="43" t="s">
        <v>113</v>
      </c>
      <c r="C37" s="42"/>
      <c r="D37" s="42"/>
      <c r="E37" s="43" t="s">
        <v>113</v>
      </c>
      <c r="F37" s="43" t="s">
        <v>113</v>
      </c>
      <c r="G37" s="42"/>
      <c r="H37" s="42"/>
      <c r="I37" s="42"/>
      <c r="J37" s="42"/>
      <c r="K37" s="44"/>
      <c r="L37" s="44"/>
      <c r="M37" s="45" t="s">
        <v>114</v>
      </c>
    </row>
    <row r="38" s="37" customFormat="1" ht="27" customHeight="1">
      <c r="A38" s="47" t="s">
        <v>158</v>
      </c>
      <c r="B38" s="42"/>
      <c r="C38" s="42"/>
      <c r="D38" s="42"/>
      <c r="E38" s="42"/>
      <c r="F38" s="42"/>
      <c r="G38" s="42"/>
      <c r="H38" s="42"/>
      <c r="I38" s="42"/>
      <c r="J38" s="55" t="s">
        <v>113</v>
      </c>
      <c r="K38" s="44"/>
      <c r="L38" s="44"/>
      <c r="M38" s="56">
        <v>1</v>
      </c>
    </row>
    <row r="39" s="37" customFormat="1" ht="27" customHeight="1">
      <c r="A39" s="57" t="s">
        <v>159</v>
      </c>
      <c r="B39" s="58" t="s">
        <v>80</v>
      </c>
      <c r="C39" s="58" t="s">
        <v>75</v>
      </c>
      <c r="D39" s="58" t="s">
        <v>72</v>
      </c>
      <c r="E39" s="58" t="s">
        <v>70</v>
      </c>
      <c r="F39" s="58" t="s">
        <v>64</v>
      </c>
      <c r="G39" s="58" t="s">
        <v>68</v>
      </c>
      <c r="H39" s="58" t="s">
        <v>66</v>
      </c>
      <c r="I39" s="58" t="s">
        <v>59</v>
      </c>
      <c r="J39" s="58" t="s">
        <v>61</v>
      </c>
      <c r="K39" s="59" t="s">
        <v>109</v>
      </c>
      <c r="L39" s="59" t="s">
        <v>110</v>
      </c>
      <c r="M39" s="59" t="s">
        <v>25</v>
      </c>
    </row>
    <row r="40" s="37" customFormat="1" ht="27" customHeight="1">
      <c r="A40" s="47" t="s">
        <v>160</v>
      </c>
      <c r="B40" s="43" t="s">
        <v>113</v>
      </c>
      <c r="C40" s="43" t="s">
        <v>113</v>
      </c>
      <c r="D40" s="43" t="s">
        <v>113</v>
      </c>
      <c r="E40" s="43" t="s">
        <v>113</v>
      </c>
      <c r="F40" s="43" t="s">
        <v>113</v>
      </c>
      <c r="G40" s="42"/>
      <c r="H40" s="42"/>
      <c r="I40" s="42"/>
      <c r="J40" s="42"/>
      <c r="K40" s="45" t="s">
        <v>141</v>
      </c>
      <c r="L40" s="45" t="s">
        <v>114</v>
      </c>
      <c r="M40" s="45" t="s">
        <v>161</v>
      </c>
    </row>
    <row r="41" s="37" customFormat="1" ht="27" customHeight="1">
      <c r="A41" s="47" t="s">
        <v>162</v>
      </c>
      <c r="B41" s="43" t="s">
        <v>113</v>
      </c>
      <c r="C41" s="42"/>
      <c r="D41" s="43" t="s">
        <v>113</v>
      </c>
      <c r="E41" s="42"/>
      <c r="F41" s="43" t="s">
        <v>113</v>
      </c>
      <c r="G41" s="42"/>
      <c r="H41" s="42"/>
      <c r="I41" s="42"/>
      <c r="J41" s="42"/>
      <c r="K41" s="45" t="s">
        <v>114</v>
      </c>
      <c r="L41" s="45" t="s">
        <v>163</v>
      </c>
      <c r="M41" s="44"/>
    </row>
    <row r="42" s="37" customFormat="1" ht="27" customHeight="1">
      <c r="A42" s="47" t="s">
        <v>164</v>
      </c>
      <c r="B42" s="43" t="s">
        <v>113</v>
      </c>
      <c r="C42" s="42"/>
      <c r="D42" s="43" t="s">
        <v>113</v>
      </c>
      <c r="E42" s="43" t="s">
        <v>113</v>
      </c>
      <c r="F42" s="43" t="s">
        <v>113</v>
      </c>
      <c r="G42" s="42"/>
      <c r="H42" s="42"/>
      <c r="I42" s="42"/>
      <c r="J42" s="42"/>
      <c r="K42" s="45" t="s">
        <v>114</v>
      </c>
      <c r="L42" s="45" t="s">
        <v>141</v>
      </c>
      <c r="M42" s="44"/>
    </row>
    <row r="43" s="37" customFormat="1" ht="27" customHeight="1">
      <c r="A43" s="47" t="s">
        <v>165</v>
      </c>
      <c r="B43" s="55" t="s">
        <v>113</v>
      </c>
      <c r="C43" s="42"/>
      <c r="D43" s="55" t="s">
        <v>113</v>
      </c>
      <c r="E43" s="55" t="s">
        <v>113</v>
      </c>
      <c r="F43" s="55" t="s">
        <v>113</v>
      </c>
      <c r="G43" s="55" t="s">
        <v>113</v>
      </c>
      <c r="H43" s="55" t="s">
        <v>113</v>
      </c>
      <c r="I43" s="55" t="s">
        <v>113</v>
      </c>
      <c r="J43" s="42"/>
      <c r="K43" s="44"/>
      <c r="L43" s="44"/>
      <c r="M43" s="56">
        <v>1</v>
      </c>
    </row>
    <row r="44" s="37" customFormat="1" ht="27" customHeight="1">
      <c r="A44" s="41" t="s">
        <v>145</v>
      </c>
      <c r="B44" s="42"/>
      <c r="C44" s="42"/>
      <c r="D44" s="43" t="s">
        <v>113</v>
      </c>
      <c r="E44" s="42"/>
      <c r="F44" s="42"/>
      <c r="G44" s="42"/>
      <c r="H44" s="42"/>
      <c r="I44" s="42"/>
      <c r="J44" s="42"/>
      <c r="K44" s="45" t="s">
        <v>140</v>
      </c>
      <c r="L44" s="45" t="s">
        <v>141</v>
      </c>
      <c r="M44" s="45" t="s">
        <v>114</v>
      </c>
    </row>
    <row r="45" s="37" customFormat="1" ht="27" customHeight="1">
      <c r="A45" s="47" t="s">
        <v>166</v>
      </c>
      <c r="B45" s="43" t="s">
        <v>113</v>
      </c>
      <c r="C45" s="42"/>
      <c r="D45" s="43" t="s">
        <v>113</v>
      </c>
      <c r="E45" s="42"/>
      <c r="F45" s="43" t="s">
        <v>113</v>
      </c>
      <c r="G45" s="42"/>
      <c r="H45" s="42"/>
      <c r="I45" s="42"/>
      <c r="J45" s="42"/>
      <c r="K45" s="45" t="s">
        <v>114</v>
      </c>
      <c r="L45" s="45" t="s">
        <v>141</v>
      </c>
      <c r="M45" s="44"/>
    </row>
    <row r="46" s="37" customFormat="1" ht="27" customHeight="1">
      <c r="A46" s="47" t="s">
        <v>167</v>
      </c>
      <c r="B46" s="55" t="s">
        <v>113</v>
      </c>
      <c r="C46" s="42"/>
      <c r="D46" s="55" t="s">
        <v>113</v>
      </c>
      <c r="E46" s="42"/>
      <c r="F46" s="55" t="s">
        <v>113</v>
      </c>
      <c r="G46" s="42"/>
      <c r="H46" s="42"/>
      <c r="I46" s="42"/>
      <c r="J46" s="42"/>
      <c r="K46" s="44"/>
      <c r="L46" s="56">
        <v>1</v>
      </c>
      <c r="M46" s="44"/>
    </row>
    <row r="47" s="37" customFormat="1" ht="27" customHeight="1">
      <c r="A47" s="47" t="s">
        <v>168</v>
      </c>
      <c r="B47" s="55" t="s">
        <v>113</v>
      </c>
      <c r="C47" s="55" t="s">
        <v>113</v>
      </c>
      <c r="D47" s="55" t="s">
        <v>113</v>
      </c>
      <c r="E47" s="55" t="s">
        <v>113</v>
      </c>
      <c r="F47" s="55" t="s">
        <v>113</v>
      </c>
      <c r="G47" s="55" t="s">
        <v>113</v>
      </c>
      <c r="H47" s="55" t="s">
        <v>113</v>
      </c>
      <c r="I47" s="55" t="s">
        <v>113</v>
      </c>
      <c r="J47" s="42"/>
      <c r="K47" s="56">
        <v>1</v>
      </c>
      <c r="L47" s="56">
        <v>2</v>
      </c>
      <c r="M47" s="44"/>
    </row>
    <row r="48" s="37" customFormat="1" ht="27" customHeight="1">
      <c r="A48" s="47" t="s">
        <v>169</v>
      </c>
      <c r="B48" s="42"/>
      <c r="C48" s="42"/>
      <c r="D48" s="42"/>
      <c r="E48" s="42"/>
      <c r="F48" s="55" t="s">
        <v>113</v>
      </c>
      <c r="G48" s="42"/>
      <c r="H48" s="42"/>
      <c r="I48" s="42"/>
      <c r="J48" s="42"/>
      <c r="K48" s="56">
        <v>1</v>
      </c>
      <c r="L48" s="44"/>
      <c r="M48" s="44"/>
    </row>
    <row r="49" s="37" customFormat="1" ht="27" customHeight="1">
      <c r="A49" s="47" t="s">
        <v>170</v>
      </c>
      <c r="B49" s="55" t="s">
        <v>113</v>
      </c>
      <c r="C49" s="42"/>
      <c r="D49" s="42"/>
      <c r="E49" s="42"/>
      <c r="F49" s="42"/>
      <c r="G49" s="42"/>
      <c r="H49" s="42"/>
      <c r="I49" s="42"/>
      <c r="J49" s="42"/>
      <c r="K49" s="44"/>
      <c r="L49" s="44"/>
      <c r="M49" s="44"/>
    </row>
    <row r="50" s="37" customFormat="1" ht="27" customHeight="1">
      <c r="A50" s="47" t="s">
        <v>171</v>
      </c>
      <c r="B50" s="42"/>
      <c r="C50" s="43" t="s">
        <v>113</v>
      </c>
      <c r="D50" s="43" t="s">
        <v>113</v>
      </c>
      <c r="E50" s="43" t="s">
        <v>113</v>
      </c>
      <c r="F50" s="43" t="s">
        <v>113</v>
      </c>
      <c r="G50" s="42"/>
      <c r="H50" s="42"/>
      <c r="I50" s="42"/>
      <c r="J50" s="42"/>
      <c r="K50" s="45" t="s">
        <v>114</v>
      </c>
      <c r="L50" s="44"/>
      <c r="M50" s="44"/>
    </row>
    <row r="51" s="37" customFormat="1" ht="27" customHeight="1">
      <c r="A51" s="47" t="s">
        <v>172</v>
      </c>
      <c r="B51" s="42"/>
      <c r="C51" s="43" t="s">
        <v>113</v>
      </c>
      <c r="D51" s="42"/>
      <c r="E51" s="42"/>
      <c r="F51" s="42"/>
      <c r="G51" s="42"/>
      <c r="H51" s="42"/>
      <c r="I51" s="42"/>
      <c r="J51" s="42"/>
      <c r="K51" s="44"/>
      <c r="L51" s="45" t="s">
        <v>114</v>
      </c>
      <c r="M51" s="44"/>
    </row>
    <row r="52" s="37" customFormat="1" ht="27" customHeight="1">
      <c r="A52" s="47" t="s">
        <v>173</v>
      </c>
      <c r="B52" s="42"/>
      <c r="C52" s="43" t="s">
        <v>113</v>
      </c>
      <c r="D52" s="42"/>
      <c r="E52" s="42"/>
      <c r="F52" s="42"/>
      <c r="G52" s="42"/>
      <c r="H52" s="42"/>
      <c r="I52" s="42"/>
      <c r="J52" s="42"/>
      <c r="K52" s="44"/>
      <c r="L52" s="45" t="s">
        <v>114</v>
      </c>
      <c r="M52" s="44"/>
    </row>
    <row r="53" s="37" customFormat="1" ht="27" customHeight="1">
      <c r="A53" s="47" t="s">
        <v>174</v>
      </c>
      <c r="B53" s="42"/>
      <c r="C53" s="43" t="s">
        <v>113</v>
      </c>
      <c r="D53" s="42"/>
      <c r="E53" s="42"/>
      <c r="F53" s="42"/>
      <c r="G53" s="42"/>
      <c r="H53" s="42"/>
      <c r="I53" s="42"/>
      <c r="J53" s="42"/>
      <c r="K53" s="44"/>
      <c r="L53" s="45" t="s">
        <v>114</v>
      </c>
      <c r="M53" s="44"/>
    </row>
    <row r="54" s="37" customFormat="1" ht="27" customHeight="1">
      <c r="A54" s="47" t="s">
        <v>152</v>
      </c>
      <c r="B54" s="42"/>
      <c r="C54" s="43" t="s">
        <v>113</v>
      </c>
      <c r="D54" s="42"/>
      <c r="E54" s="42"/>
      <c r="F54" s="42"/>
      <c r="G54" s="42"/>
      <c r="H54" s="42"/>
      <c r="I54" s="42"/>
      <c r="J54" s="42"/>
      <c r="K54" s="44"/>
      <c r="L54" s="44"/>
      <c r="M54" s="45" t="s">
        <v>114</v>
      </c>
    </row>
    <row r="55" s="37" customFormat="1" ht="27" customHeight="1">
      <c r="A55" s="47" t="s">
        <v>175</v>
      </c>
      <c r="B55" s="42"/>
      <c r="C55" s="43" t="s">
        <v>113</v>
      </c>
      <c r="D55" s="42"/>
      <c r="E55" s="42"/>
      <c r="F55" s="42"/>
      <c r="G55" s="42"/>
      <c r="H55" s="42"/>
      <c r="I55" s="42"/>
      <c r="J55" s="42"/>
      <c r="K55" s="45" t="s">
        <v>114</v>
      </c>
      <c r="L55" s="44"/>
      <c r="M55" s="44"/>
    </row>
    <row r="56" s="37" customFormat="1" ht="27" customHeight="1">
      <c r="A56" s="41" t="s">
        <v>176</v>
      </c>
      <c r="B56" s="42"/>
      <c r="C56" s="42"/>
      <c r="D56" s="43" t="s">
        <v>113</v>
      </c>
      <c r="E56" s="42"/>
      <c r="F56" s="42"/>
      <c r="G56" s="42"/>
      <c r="H56" s="42"/>
      <c r="I56" s="42"/>
      <c r="J56" s="42"/>
      <c r="K56" s="45" t="s">
        <v>114</v>
      </c>
      <c r="L56" s="45" t="s">
        <v>141</v>
      </c>
      <c r="M56" s="44"/>
    </row>
    <row r="57" s="37" customFormat="1" ht="27" customHeight="1">
      <c r="A57" s="47" t="s">
        <v>177</v>
      </c>
      <c r="B57" s="55" t="s">
        <v>113</v>
      </c>
      <c r="C57" s="42"/>
      <c r="D57" s="42"/>
      <c r="E57" s="55" t="s">
        <v>113</v>
      </c>
      <c r="F57" s="55" t="s">
        <v>113</v>
      </c>
      <c r="G57" s="42"/>
      <c r="H57" s="42"/>
      <c r="I57" s="42"/>
      <c r="J57" s="42"/>
      <c r="K57" s="44"/>
      <c r="L57" s="44"/>
      <c r="M57" s="56">
        <v>1</v>
      </c>
    </row>
    <row r="58" s="37" customFormat="1" ht="27" customHeight="1">
      <c r="A58" s="47" t="s">
        <v>178</v>
      </c>
      <c r="B58" s="42"/>
      <c r="C58" s="42"/>
      <c r="D58" s="42"/>
      <c r="E58" s="55" t="s">
        <v>113</v>
      </c>
      <c r="F58" s="55" t="s">
        <v>113</v>
      </c>
      <c r="G58" s="55" t="s">
        <v>113</v>
      </c>
      <c r="H58" s="55" t="s">
        <v>113</v>
      </c>
      <c r="I58" s="42"/>
      <c r="J58" s="42"/>
      <c r="K58" s="56">
        <v>2</v>
      </c>
      <c r="L58" s="44"/>
      <c r="M58" s="56">
        <v>1</v>
      </c>
    </row>
    <row r="59" s="37" customFormat="1" ht="27" customHeight="1">
      <c r="A59" s="47" t="s">
        <v>179</v>
      </c>
      <c r="B59" s="42"/>
      <c r="C59" s="42"/>
      <c r="D59" s="42"/>
      <c r="E59" s="55" t="s">
        <v>113</v>
      </c>
      <c r="F59" s="55" t="s">
        <v>113</v>
      </c>
      <c r="G59" s="55" t="s">
        <v>113</v>
      </c>
      <c r="H59" s="55" t="s">
        <v>113</v>
      </c>
      <c r="I59" s="55" t="s">
        <v>113</v>
      </c>
      <c r="J59" s="42"/>
      <c r="K59" s="44"/>
      <c r="L59" s="44"/>
      <c r="M59" s="56">
        <v>1</v>
      </c>
    </row>
    <row r="60" s="37" customFormat="1" ht="27" customHeight="1">
      <c r="A60" s="47" t="s">
        <v>180</v>
      </c>
      <c r="B60" s="42"/>
      <c r="C60" s="42"/>
      <c r="D60" s="42"/>
      <c r="E60" s="55" t="s">
        <v>113</v>
      </c>
      <c r="F60" s="55" t="s">
        <v>113</v>
      </c>
      <c r="G60" s="55" t="s">
        <v>113</v>
      </c>
      <c r="H60" s="55" t="s">
        <v>113</v>
      </c>
      <c r="I60" s="55" t="s">
        <v>113</v>
      </c>
      <c r="J60" s="42"/>
      <c r="K60" s="56">
        <v>2</v>
      </c>
      <c r="L60" s="44"/>
      <c r="M60" s="56">
        <v>1</v>
      </c>
    </row>
    <row r="61" s="37" customFormat="1" ht="27" customHeight="1">
      <c r="A61" s="47" t="s">
        <v>158</v>
      </c>
      <c r="B61" s="42"/>
      <c r="C61" s="42"/>
      <c r="D61" s="42"/>
      <c r="E61" s="42"/>
      <c r="F61" s="42"/>
      <c r="G61" s="42"/>
      <c r="H61" s="42"/>
      <c r="I61" s="42"/>
      <c r="J61" s="55" t="s">
        <v>113</v>
      </c>
      <c r="K61" s="44"/>
      <c r="L61" s="44"/>
      <c r="M61" s="56">
        <v>1</v>
      </c>
    </row>
    <row r="62" s="37" customFormat="1" ht="27" customHeight="1">
      <c r="A62" s="41" t="s">
        <v>181</v>
      </c>
      <c r="B62" s="42"/>
      <c r="C62" s="42"/>
      <c r="D62" s="42"/>
      <c r="E62" s="42"/>
      <c r="F62" s="42"/>
      <c r="G62" s="42"/>
      <c r="H62" s="42"/>
      <c r="I62" s="42"/>
      <c r="J62" s="43" t="s">
        <v>113</v>
      </c>
      <c r="K62" s="45" t="s">
        <v>114</v>
      </c>
      <c r="L62" s="45" t="s">
        <v>141</v>
      </c>
      <c r="M62" s="44"/>
    </row>
    <row r="63" s="37" customFormat="1" ht="27" customHeight="1">
      <c r="A63" s="41" t="s">
        <v>182</v>
      </c>
      <c r="B63" s="42"/>
      <c r="C63" s="42"/>
      <c r="D63" s="42"/>
      <c r="E63" s="42"/>
      <c r="F63" s="42"/>
      <c r="G63" s="42"/>
      <c r="H63" s="42"/>
      <c r="I63" s="42"/>
      <c r="J63" s="43" t="s">
        <v>113</v>
      </c>
      <c r="K63" s="45" t="s">
        <v>114</v>
      </c>
      <c r="L63" s="45" t="s">
        <v>141</v>
      </c>
      <c r="M63" s="44"/>
    </row>
  </sheetData>
  <mergeCells count="3">
    <mergeCell ref="B1:J1"/>
    <mergeCell ref="K1:M1"/>
    <mergeCell ref="O12:T1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outlinePr applyStyles="0" summaryBelow="1" summaryRight="1" showOutlineSymbols="1"/>
    <pageSetUpPr autoPageBreaks="1" fitToPage="0"/>
  </sheetPr>
  <sheetViews>
    <sheetView zoomScale="85" workbookViewId="0">
      <selection activeCell="A1" activeCellId="0" sqref="1:1"/>
    </sheetView>
  </sheetViews>
  <sheetFormatPr baseColWidth="10" defaultRowHeight="14.25"/>
  <cols>
    <col min="1" max="1" style="60" width="11.42578125"/>
    <col customWidth="1" min="2" max="2" style="60" width="58.42578125"/>
    <col customWidth="1" min="3" max="3" style="60" width="4.85546875"/>
    <col min="4" max="7" style="60" width="11.42578125"/>
    <col customWidth="1" min="8" max="8" style="60" width="19"/>
    <col customWidth="1" min="9" max="9" style="60" width="5.7109375"/>
    <col min="10" max="10" style="60" width="11.42578125"/>
    <col customWidth="1" min="11" max="11" style="60" width="11.42578125"/>
    <col customWidth="1" min="12" max="12" style="60" width="23"/>
    <col min="13" max="257" style="60" width="11.42578125"/>
    <col customWidth="1" min="258" max="258" style="60" width="58.42578125"/>
    <col customWidth="1" min="259" max="259" style="60" width="4.85546875"/>
    <col min="260" max="263" style="60" width="11.42578125"/>
    <col customWidth="1" min="264" max="264" style="60" width="19"/>
    <col customWidth="1" min="265" max="265" style="60" width="5.7109375"/>
    <col min="266" max="267" style="60" width="11.42578125"/>
    <col customWidth="1" min="268" max="268" style="60" width="23"/>
    <col min="269" max="513" style="60" width="11.42578125"/>
    <col customWidth="1" min="514" max="514" style="60" width="58.42578125"/>
    <col customWidth="1" min="515" max="515" style="60" width="4.85546875"/>
    <col min="516" max="519" style="60" width="11.42578125"/>
    <col customWidth="1" min="520" max="520" style="60" width="19"/>
    <col customWidth="1" min="521" max="521" style="60" width="5.7109375"/>
    <col min="522" max="523" style="60" width="11.42578125"/>
    <col customWidth="1" min="524" max="524" style="60" width="23"/>
    <col min="525" max="769" style="60" width="11.42578125"/>
    <col customWidth="1" min="770" max="770" style="60" width="58.42578125"/>
    <col customWidth="1" min="771" max="771" style="60" width="4.85546875"/>
    <col min="772" max="775" style="60" width="11.42578125"/>
    <col customWidth="1" min="776" max="776" style="60" width="19"/>
    <col customWidth="1" min="777" max="777" style="60" width="5.7109375"/>
    <col min="778" max="779" style="60" width="11.42578125"/>
    <col customWidth="1" min="780" max="780" style="60" width="23"/>
    <col min="781" max="1025" style="60" width="11.42578125"/>
    <col customWidth="1" min="1026" max="1026" style="60" width="58.42578125"/>
    <col customWidth="1" min="1027" max="1027" style="60" width="4.85546875"/>
    <col min="1028" max="1031" style="60" width="11.42578125"/>
    <col customWidth="1" min="1032" max="1032" style="60" width="19"/>
    <col customWidth="1" min="1033" max="1033" style="60" width="5.7109375"/>
    <col min="1034" max="1035" style="60" width="11.42578125"/>
    <col customWidth="1" min="1036" max="1036" style="60" width="23"/>
    <col min="1037" max="1281" style="60" width="11.42578125"/>
    <col customWidth="1" min="1282" max="1282" style="60" width="58.42578125"/>
    <col customWidth="1" min="1283" max="1283" style="60" width="4.85546875"/>
    <col min="1284" max="1287" style="60" width="11.42578125"/>
    <col customWidth="1" min="1288" max="1288" style="60" width="19"/>
    <col customWidth="1" min="1289" max="1289" style="60" width="5.7109375"/>
    <col min="1290" max="1291" style="60" width="11.42578125"/>
    <col customWidth="1" min="1292" max="1292" style="60" width="23"/>
    <col min="1293" max="1537" style="60" width="11.42578125"/>
    <col customWidth="1" min="1538" max="1538" style="60" width="58.42578125"/>
    <col customWidth="1" min="1539" max="1539" style="60" width="4.85546875"/>
    <col min="1540" max="1543" style="60" width="11.42578125"/>
    <col customWidth="1" min="1544" max="1544" style="60" width="19"/>
    <col customWidth="1" min="1545" max="1545" style="60" width="5.7109375"/>
    <col min="1546" max="1547" style="60" width="11.42578125"/>
    <col customWidth="1" min="1548" max="1548" style="60" width="23"/>
    <col min="1549" max="1793" style="60" width="11.42578125"/>
    <col customWidth="1" min="1794" max="1794" style="60" width="58.42578125"/>
    <col customWidth="1" min="1795" max="1795" style="60" width="4.85546875"/>
    <col min="1796" max="1799" style="60" width="11.42578125"/>
    <col customWidth="1" min="1800" max="1800" style="60" width="19"/>
    <col customWidth="1" min="1801" max="1801" style="60" width="5.7109375"/>
    <col min="1802" max="1803" style="60" width="11.42578125"/>
    <col customWidth="1" min="1804" max="1804" style="60" width="23"/>
    <col min="1805" max="2049" style="60" width="11.42578125"/>
    <col customWidth="1" min="2050" max="2050" style="60" width="58.42578125"/>
    <col customWidth="1" min="2051" max="2051" style="60" width="4.85546875"/>
    <col min="2052" max="2055" style="60" width="11.42578125"/>
    <col customWidth="1" min="2056" max="2056" style="60" width="19"/>
    <col customWidth="1" min="2057" max="2057" style="60" width="5.7109375"/>
    <col min="2058" max="2059" style="60" width="11.42578125"/>
    <col customWidth="1" min="2060" max="2060" style="60" width="23"/>
    <col min="2061" max="2305" style="60" width="11.42578125"/>
    <col customWidth="1" min="2306" max="2306" style="60" width="58.42578125"/>
    <col customWidth="1" min="2307" max="2307" style="60" width="4.85546875"/>
    <col min="2308" max="2311" style="60" width="11.42578125"/>
    <col customWidth="1" min="2312" max="2312" style="60" width="19"/>
    <col customWidth="1" min="2313" max="2313" style="60" width="5.7109375"/>
    <col min="2314" max="2315" style="60" width="11.42578125"/>
    <col customWidth="1" min="2316" max="2316" style="60" width="23"/>
    <col min="2317" max="2561" style="60" width="11.42578125"/>
    <col customWidth="1" min="2562" max="2562" style="60" width="58.42578125"/>
    <col customWidth="1" min="2563" max="2563" style="60" width="4.85546875"/>
    <col min="2564" max="2567" style="60" width="11.42578125"/>
    <col customWidth="1" min="2568" max="2568" style="60" width="19"/>
    <col customWidth="1" min="2569" max="2569" style="60" width="5.7109375"/>
    <col min="2570" max="2571" style="60" width="11.42578125"/>
    <col customWidth="1" min="2572" max="2572" style="60" width="23"/>
    <col min="2573" max="2817" style="60" width="11.42578125"/>
    <col customWidth="1" min="2818" max="2818" style="60" width="58.42578125"/>
    <col customWidth="1" min="2819" max="2819" style="60" width="4.85546875"/>
    <col min="2820" max="2823" style="60" width="11.42578125"/>
    <col customWidth="1" min="2824" max="2824" style="60" width="19"/>
    <col customWidth="1" min="2825" max="2825" style="60" width="5.7109375"/>
    <col min="2826" max="2827" style="60" width="11.42578125"/>
    <col customWidth="1" min="2828" max="2828" style="60" width="23"/>
    <col min="2829" max="3073" style="60" width="11.42578125"/>
    <col customWidth="1" min="3074" max="3074" style="60" width="58.42578125"/>
    <col customWidth="1" min="3075" max="3075" style="60" width="4.85546875"/>
    <col min="3076" max="3079" style="60" width="11.42578125"/>
    <col customWidth="1" min="3080" max="3080" style="60" width="19"/>
    <col customWidth="1" min="3081" max="3081" style="60" width="5.7109375"/>
    <col min="3082" max="3083" style="60" width="11.42578125"/>
    <col customWidth="1" min="3084" max="3084" style="60" width="23"/>
    <col min="3085" max="3329" style="60" width="11.42578125"/>
    <col customWidth="1" min="3330" max="3330" style="60" width="58.42578125"/>
    <col customWidth="1" min="3331" max="3331" style="60" width="4.85546875"/>
    <col min="3332" max="3335" style="60" width="11.42578125"/>
    <col customWidth="1" min="3336" max="3336" style="60" width="19"/>
    <col customWidth="1" min="3337" max="3337" style="60" width="5.7109375"/>
    <col min="3338" max="3339" style="60" width="11.42578125"/>
    <col customWidth="1" min="3340" max="3340" style="60" width="23"/>
    <col min="3341" max="3585" style="60" width="11.42578125"/>
    <col customWidth="1" min="3586" max="3586" style="60" width="58.42578125"/>
    <col customWidth="1" min="3587" max="3587" style="60" width="4.85546875"/>
    <col min="3588" max="3591" style="60" width="11.42578125"/>
    <col customWidth="1" min="3592" max="3592" style="60" width="19"/>
    <col customWidth="1" min="3593" max="3593" style="60" width="5.7109375"/>
    <col min="3594" max="3595" style="60" width="11.42578125"/>
    <col customWidth="1" min="3596" max="3596" style="60" width="23"/>
    <col min="3597" max="3841" style="60" width="11.42578125"/>
    <col customWidth="1" min="3842" max="3842" style="60" width="58.42578125"/>
    <col customWidth="1" min="3843" max="3843" style="60" width="4.85546875"/>
    <col min="3844" max="3847" style="60" width="11.42578125"/>
    <col customWidth="1" min="3848" max="3848" style="60" width="19"/>
    <col customWidth="1" min="3849" max="3849" style="60" width="5.7109375"/>
    <col min="3850" max="3851" style="60" width="11.42578125"/>
    <col customWidth="1" min="3852" max="3852" style="60" width="23"/>
    <col min="3853" max="4097" style="60" width="11.42578125"/>
    <col customWidth="1" min="4098" max="4098" style="60" width="58.42578125"/>
    <col customWidth="1" min="4099" max="4099" style="60" width="4.85546875"/>
    <col min="4100" max="4103" style="60" width="11.42578125"/>
    <col customWidth="1" min="4104" max="4104" style="60" width="19"/>
    <col customWidth="1" min="4105" max="4105" style="60" width="5.7109375"/>
    <col min="4106" max="4107" style="60" width="11.42578125"/>
    <col customWidth="1" min="4108" max="4108" style="60" width="23"/>
    <col min="4109" max="4353" style="60" width="11.42578125"/>
    <col customWidth="1" min="4354" max="4354" style="60" width="58.42578125"/>
    <col customWidth="1" min="4355" max="4355" style="60" width="4.85546875"/>
    <col min="4356" max="4359" style="60" width="11.42578125"/>
    <col customWidth="1" min="4360" max="4360" style="60" width="19"/>
    <col customWidth="1" min="4361" max="4361" style="60" width="5.7109375"/>
    <col min="4362" max="4363" style="60" width="11.42578125"/>
    <col customWidth="1" min="4364" max="4364" style="60" width="23"/>
    <col min="4365" max="4609" style="60" width="11.42578125"/>
    <col customWidth="1" min="4610" max="4610" style="60" width="58.42578125"/>
    <col customWidth="1" min="4611" max="4611" style="60" width="4.85546875"/>
    <col min="4612" max="4615" style="60" width="11.42578125"/>
    <col customWidth="1" min="4616" max="4616" style="60" width="19"/>
    <col customWidth="1" min="4617" max="4617" style="60" width="5.7109375"/>
    <col min="4618" max="4619" style="60" width="11.42578125"/>
    <col customWidth="1" min="4620" max="4620" style="60" width="23"/>
    <col min="4621" max="4865" style="60" width="11.42578125"/>
    <col customWidth="1" min="4866" max="4866" style="60" width="58.42578125"/>
    <col customWidth="1" min="4867" max="4867" style="60" width="4.85546875"/>
    <col min="4868" max="4871" style="60" width="11.42578125"/>
    <col customWidth="1" min="4872" max="4872" style="60" width="19"/>
    <col customWidth="1" min="4873" max="4873" style="60" width="5.7109375"/>
    <col min="4874" max="4875" style="60" width="11.42578125"/>
    <col customWidth="1" min="4876" max="4876" style="60" width="23"/>
    <col min="4877" max="5121" style="60" width="11.42578125"/>
    <col customWidth="1" min="5122" max="5122" style="60" width="58.42578125"/>
    <col customWidth="1" min="5123" max="5123" style="60" width="4.85546875"/>
    <col min="5124" max="5127" style="60" width="11.42578125"/>
    <col customWidth="1" min="5128" max="5128" style="60" width="19"/>
    <col customWidth="1" min="5129" max="5129" style="60" width="5.7109375"/>
    <col min="5130" max="5131" style="60" width="11.42578125"/>
    <col customWidth="1" min="5132" max="5132" style="60" width="23"/>
    <col min="5133" max="5377" style="60" width="11.42578125"/>
    <col customWidth="1" min="5378" max="5378" style="60" width="58.42578125"/>
    <col customWidth="1" min="5379" max="5379" style="60" width="4.85546875"/>
    <col min="5380" max="5383" style="60" width="11.42578125"/>
    <col customWidth="1" min="5384" max="5384" style="60" width="19"/>
    <col customWidth="1" min="5385" max="5385" style="60" width="5.7109375"/>
    <col min="5386" max="5387" style="60" width="11.42578125"/>
    <col customWidth="1" min="5388" max="5388" style="60" width="23"/>
    <col min="5389" max="5633" style="60" width="11.42578125"/>
    <col customWidth="1" min="5634" max="5634" style="60" width="58.42578125"/>
    <col customWidth="1" min="5635" max="5635" style="60" width="4.85546875"/>
    <col min="5636" max="5639" style="60" width="11.42578125"/>
    <col customWidth="1" min="5640" max="5640" style="60" width="19"/>
    <col customWidth="1" min="5641" max="5641" style="60" width="5.7109375"/>
    <col min="5642" max="5643" style="60" width="11.42578125"/>
    <col customWidth="1" min="5644" max="5644" style="60" width="23"/>
    <col min="5645" max="5889" style="60" width="11.42578125"/>
    <col customWidth="1" min="5890" max="5890" style="60" width="58.42578125"/>
    <col customWidth="1" min="5891" max="5891" style="60" width="4.85546875"/>
    <col min="5892" max="5895" style="60" width="11.42578125"/>
    <col customWidth="1" min="5896" max="5896" style="60" width="19"/>
    <col customWidth="1" min="5897" max="5897" style="60" width="5.7109375"/>
    <col min="5898" max="5899" style="60" width="11.42578125"/>
    <col customWidth="1" min="5900" max="5900" style="60" width="23"/>
    <col min="5901" max="6145" style="60" width="11.42578125"/>
    <col customWidth="1" min="6146" max="6146" style="60" width="58.42578125"/>
    <col customWidth="1" min="6147" max="6147" style="60" width="4.85546875"/>
    <col min="6148" max="6151" style="60" width="11.42578125"/>
    <col customWidth="1" min="6152" max="6152" style="60" width="19"/>
    <col customWidth="1" min="6153" max="6153" style="60" width="5.7109375"/>
    <col min="6154" max="6155" style="60" width="11.42578125"/>
    <col customWidth="1" min="6156" max="6156" style="60" width="23"/>
    <col min="6157" max="6401" style="60" width="11.42578125"/>
    <col customWidth="1" min="6402" max="6402" style="60" width="58.42578125"/>
    <col customWidth="1" min="6403" max="6403" style="60" width="4.85546875"/>
    <col min="6404" max="6407" style="60" width="11.42578125"/>
    <col customWidth="1" min="6408" max="6408" style="60" width="19"/>
    <col customWidth="1" min="6409" max="6409" style="60" width="5.7109375"/>
    <col min="6410" max="6411" style="60" width="11.42578125"/>
    <col customWidth="1" min="6412" max="6412" style="60" width="23"/>
    <col min="6413" max="6657" style="60" width="11.42578125"/>
    <col customWidth="1" min="6658" max="6658" style="60" width="58.42578125"/>
    <col customWidth="1" min="6659" max="6659" style="60" width="4.85546875"/>
    <col min="6660" max="6663" style="60" width="11.42578125"/>
    <col customWidth="1" min="6664" max="6664" style="60" width="19"/>
    <col customWidth="1" min="6665" max="6665" style="60" width="5.7109375"/>
    <col min="6666" max="6667" style="60" width="11.42578125"/>
    <col customWidth="1" min="6668" max="6668" style="60" width="23"/>
    <col min="6669" max="6913" style="60" width="11.42578125"/>
    <col customWidth="1" min="6914" max="6914" style="60" width="58.42578125"/>
    <col customWidth="1" min="6915" max="6915" style="60" width="4.85546875"/>
    <col min="6916" max="6919" style="60" width="11.42578125"/>
    <col customWidth="1" min="6920" max="6920" style="60" width="19"/>
    <col customWidth="1" min="6921" max="6921" style="60" width="5.7109375"/>
    <col min="6922" max="6923" style="60" width="11.42578125"/>
    <col customWidth="1" min="6924" max="6924" style="60" width="23"/>
    <col min="6925" max="7169" style="60" width="11.42578125"/>
    <col customWidth="1" min="7170" max="7170" style="60" width="58.42578125"/>
    <col customWidth="1" min="7171" max="7171" style="60" width="4.85546875"/>
    <col min="7172" max="7175" style="60" width="11.42578125"/>
    <col customWidth="1" min="7176" max="7176" style="60" width="19"/>
    <col customWidth="1" min="7177" max="7177" style="60" width="5.7109375"/>
    <col min="7178" max="7179" style="60" width="11.42578125"/>
    <col customWidth="1" min="7180" max="7180" style="60" width="23"/>
    <col min="7181" max="7425" style="60" width="11.42578125"/>
    <col customWidth="1" min="7426" max="7426" style="60" width="58.42578125"/>
    <col customWidth="1" min="7427" max="7427" style="60" width="4.85546875"/>
    <col min="7428" max="7431" style="60" width="11.42578125"/>
    <col customWidth="1" min="7432" max="7432" style="60" width="19"/>
    <col customWidth="1" min="7433" max="7433" style="60" width="5.7109375"/>
    <col min="7434" max="7435" style="60" width="11.42578125"/>
    <col customWidth="1" min="7436" max="7436" style="60" width="23"/>
    <col min="7437" max="7681" style="60" width="11.42578125"/>
    <col customWidth="1" min="7682" max="7682" style="60" width="58.42578125"/>
    <col customWidth="1" min="7683" max="7683" style="60" width="4.85546875"/>
    <col min="7684" max="7687" style="60" width="11.42578125"/>
    <col customWidth="1" min="7688" max="7688" style="60" width="19"/>
    <col customWidth="1" min="7689" max="7689" style="60" width="5.7109375"/>
    <col min="7690" max="7691" style="60" width="11.42578125"/>
    <col customWidth="1" min="7692" max="7692" style="60" width="23"/>
    <col min="7693" max="7937" style="60" width="11.42578125"/>
    <col customWidth="1" min="7938" max="7938" style="60" width="58.42578125"/>
    <col customWidth="1" min="7939" max="7939" style="60" width="4.85546875"/>
    <col min="7940" max="7943" style="60" width="11.42578125"/>
    <col customWidth="1" min="7944" max="7944" style="60" width="19"/>
    <col customWidth="1" min="7945" max="7945" style="60" width="5.7109375"/>
    <col min="7946" max="7947" style="60" width="11.42578125"/>
    <col customWidth="1" min="7948" max="7948" style="60" width="23"/>
    <col min="7949" max="8193" style="60" width="11.42578125"/>
    <col customWidth="1" min="8194" max="8194" style="60" width="58.42578125"/>
    <col customWidth="1" min="8195" max="8195" style="60" width="4.85546875"/>
    <col min="8196" max="8199" style="60" width="11.42578125"/>
    <col customWidth="1" min="8200" max="8200" style="60" width="19"/>
    <col customWidth="1" min="8201" max="8201" style="60" width="5.7109375"/>
    <col min="8202" max="8203" style="60" width="11.42578125"/>
    <col customWidth="1" min="8204" max="8204" style="60" width="23"/>
    <col min="8205" max="8449" style="60" width="11.42578125"/>
    <col customWidth="1" min="8450" max="8450" style="60" width="58.42578125"/>
    <col customWidth="1" min="8451" max="8451" style="60" width="4.85546875"/>
    <col min="8452" max="8455" style="60" width="11.42578125"/>
    <col customWidth="1" min="8456" max="8456" style="60" width="19"/>
    <col customWidth="1" min="8457" max="8457" style="60" width="5.7109375"/>
    <col min="8458" max="8459" style="60" width="11.42578125"/>
    <col customWidth="1" min="8460" max="8460" style="60" width="23"/>
    <col min="8461" max="8705" style="60" width="11.42578125"/>
    <col customWidth="1" min="8706" max="8706" style="60" width="58.42578125"/>
    <col customWidth="1" min="8707" max="8707" style="60" width="4.85546875"/>
    <col min="8708" max="8711" style="60" width="11.42578125"/>
    <col customWidth="1" min="8712" max="8712" style="60" width="19"/>
    <col customWidth="1" min="8713" max="8713" style="60" width="5.7109375"/>
    <col min="8714" max="8715" style="60" width="11.42578125"/>
    <col customWidth="1" min="8716" max="8716" style="60" width="23"/>
    <col min="8717" max="8961" style="60" width="11.42578125"/>
    <col customWidth="1" min="8962" max="8962" style="60" width="58.42578125"/>
    <col customWidth="1" min="8963" max="8963" style="60" width="4.85546875"/>
    <col min="8964" max="8967" style="60" width="11.42578125"/>
    <col customWidth="1" min="8968" max="8968" style="60" width="19"/>
    <col customWidth="1" min="8969" max="8969" style="60" width="5.7109375"/>
    <col min="8970" max="8971" style="60" width="11.42578125"/>
    <col customWidth="1" min="8972" max="8972" style="60" width="23"/>
    <col min="8973" max="9217" style="60" width="11.42578125"/>
    <col customWidth="1" min="9218" max="9218" style="60" width="58.42578125"/>
    <col customWidth="1" min="9219" max="9219" style="60" width="4.85546875"/>
    <col min="9220" max="9223" style="60" width="11.42578125"/>
    <col customWidth="1" min="9224" max="9224" style="60" width="19"/>
    <col customWidth="1" min="9225" max="9225" style="60" width="5.7109375"/>
    <col min="9226" max="9227" style="60" width="11.42578125"/>
    <col customWidth="1" min="9228" max="9228" style="60" width="23"/>
    <col min="9229" max="9473" style="60" width="11.42578125"/>
    <col customWidth="1" min="9474" max="9474" style="60" width="58.42578125"/>
    <col customWidth="1" min="9475" max="9475" style="60" width="4.85546875"/>
    <col min="9476" max="9479" style="60" width="11.42578125"/>
    <col customWidth="1" min="9480" max="9480" style="60" width="19"/>
    <col customWidth="1" min="9481" max="9481" style="60" width="5.7109375"/>
    <col min="9482" max="9483" style="60" width="11.42578125"/>
    <col customWidth="1" min="9484" max="9484" style="60" width="23"/>
    <col min="9485" max="9729" style="60" width="11.42578125"/>
    <col customWidth="1" min="9730" max="9730" style="60" width="58.42578125"/>
    <col customWidth="1" min="9731" max="9731" style="60" width="4.85546875"/>
    <col min="9732" max="9735" style="60" width="11.42578125"/>
    <col customWidth="1" min="9736" max="9736" style="60" width="19"/>
    <col customWidth="1" min="9737" max="9737" style="60" width="5.7109375"/>
    <col min="9738" max="9739" style="60" width="11.42578125"/>
    <col customWidth="1" min="9740" max="9740" style="60" width="23"/>
    <col min="9741" max="9985" style="60" width="11.42578125"/>
    <col customWidth="1" min="9986" max="9986" style="60" width="58.42578125"/>
    <col customWidth="1" min="9987" max="9987" style="60" width="4.85546875"/>
    <col min="9988" max="9991" style="60" width="11.42578125"/>
    <col customWidth="1" min="9992" max="9992" style="60" width="19"/>
    <col customWidth="1" min="9993" max="9993" style="60" width="5.7109375"/>
    <col min="9994" max="9995" style="60" width="11.42578125"/>
    <col customWidth="1" min="9996" max="9996" style="60" width="23"/>
    <col min="9997" max="10241" style="60" width="11.42578125"/>
    <col customWidth="1" min="10242" max="10242" style="60" width="58.42578125"/>
    <col customWidth="1" min="10243" max="10243" style="60" width="4.85546875"/>
    <col min="10244" max="10247" style="60" width="11.42578125"/>
    <col customWidth="1" min="10248" max="10248" style="60" width="19"/>
    <col customWidth="1" min="10249" max="10249" style="60" width="5.7109375"/>
    <col min="10250" max="10251" style="60" width="11.42578125"/>
    <col customWidth="1" min="10252" max="10252" style="60" width="23"/>
    <col min="10253" max="10497" style="60" width="11.42578125"/>
    <col customWidth="1" min="10498" max="10498" style="60" width="58.42578125"/>
    <col customWidth="1" min="10499" max="10499" style="60" width="4.85546875"/>
    <col min="10500" max="10503" style="60" width="11.42578125"/>
    <col customWidth="1" min="10504" max="10504" style="60" width="19"/>
    <col customWidth="1" min="10505" max="10505" style="60" width="5.7109375"/>
    <col min="10506" max="10507" style="60" width="11.42578125"/>
    <col customWidth="1" min="10508" max="10508" style="60" width="23"/>
    <col min="10509" max="10753" style="60" width="11.42578125"/>
    <col customWidth="1" min="10754" max="10754" style="60" width="58.42578125"/>
    <col customWidth="1" min="10755" max="10755" style="60" width="4.85546875"/>
    <col min="10756" max="10759" style="60" width="11.42578125"/>
    <col customWidth="1" min="10760" max="10760" style="60" width="19"/>
    <col customWidth="1" min="10761" max="10761" style="60" width="5.7109375"/>
    <col min="10762" max="10763" style="60" width="11.42578125"/>
    <col customWidth="1" min="10764" max="10764" style="60" width="23"/>
    <col min="10765" max="11009" style="60" width="11.42578125"/>
    <col customWidth="1" min="11010" max="11010" style="60" width="58.42578125"/>
    <col customWidth="1" min="11011" max="11011" style="60" width="4.85546875"/>
    <col min="11012" max="11015" style="60" width="11.42578125"/>
    <col customWidth="1" min="11016" max="11016" style="60" width="19"/>
    <col customWidth="1" min="11017" max="11017" style="60" width="5.7109375"/>
    <col min="11018" max="11019" style="60" width="11.42578125"/>
    <col customWidth="1" min="11020" max="11020" style="60" width="23"/>
    <col min="11021" max="11265" style="60" width="11.42578125"/>
    <col customWidth="1" min="11266" max="11266" style="60" width="58.42578125"/>
    <col customWidth="1" min="11267" max="11267" style="60" width="4.85546875"/>
    <col min="11268" max="11271" style="60" width="11.42578125"/>
    <col customWidth="1" min="11272" max="11272" style="60" width="19"/>
    <col customWidth="1" min="11273" max="11273" style="60" width="5.7109375"/>
    <col min="11274" max="11275" style="60" width="11.42578125"/>
    <col customWidth="1" min="11276" max="11276" style="60" width="23"/>
    <col min="11277" max="11521" style="60" width="11.42578125"/>
    <col customWidth="1" min="11522" max="11522" style="60" width="58.42578125"/>
    <col customWidth="1" min="11523" max="11523" style="60" width="4.85546875"/>
    <col min="11524" max="11527" style="60" width="11.42578125"/>
    <col customWidth="1" min="11528" max="11528" style="60" width="19"/>
    <col customWidth="1" min="11529" max="11529" style="60" width="5.7109375"/>
    <col min="11530" max="11531" style="60" width="11.42578125"/>
    <col customWidth="1" min="11532" max="11532" style="60" width="23"/>
    <col min="11533" max="11777" style="60" width="11.42578125"/>
    <col customWidth="1" min="11778" max="11778" style="60" width="58.42578125"/>
    <col customWidth="1" min="11779" max="11779" style="60" width="4.85546875"/>
    <col min="11780" max="11783" style="60" width="11.42578125"/>
    <col customWidth="1" min="11784" max="11784" style="60" width="19"/>
    <col customWidth="1" min="11785" max="11785" style="60" width="5.7109375"/>
    <col min="11786" max="11787" style="60" width="11.42578125"/>
    <col customWidth="1" min="11788" max="11788" style="60" width="23"/>
    <col min="11789" max="12033" style="60" width="11.42578125"/>
    <col customWidth="1" min="12034" max="12034" style="60" width="58.42578125"/>
    <col customWidth="1" min="12035" max="12035" style="60" width="4.85546875"/>
    <col min="12036" max="12039" style="60" width="11.42578125"/>
    <col customWidth="1" min="12040" max="12040" style="60" width="19"/>
    <col customWidth="1" min="12041" max="12041" style="60" width="5.7109375"/>
    <col min="12042" max="12043" style="60" width="11.42578125"/>
    <col customWidth="1" min="12044" max="12044" style="60" width="23"/>
    <col min="12045" max="12289" style="60" width="11.42578125"/>
    <col customWidth="1" min="12290" max="12290" style="60" width="58.42578125"/>
    <col customWidth="1" min="12291" max="12291" style="60" width="4.85546875"/>
    <col min="12292" max="12295" style="60" width="11.42578125"/>
    <col customWidth="1" min="12296" max="12296" style="60" width="19"/>
    <col customWidth="1" min="12297" max="12297" style="60" width="5.7109375"/>
    <col min="12298" max="12299" style="60" width="11.42578125"/>
    <col customWidth="1" min="12300" max="12300" style="60" width="23"/>
    <col min="12301" max="12545" style="60" width="11.42578125"/>
    <col customWidth="1" min="12546" max="12546" style="60" width="58.42578125"/>
    <col customWidth="1" min="12547" max="12547" style="60" width="4.85546875"/>
    <col min="12548" max="12551" style="60" width="11.42578125"/>
    <col customWidth="1" min="12552" max="12552" style="60" width="19"/>
    <col customWidth="1" min="12553" max="12553" style="60" width="5.7109375"/>
    <col min="12554" max="12555" style="60" width="11.42578125"/>
    <col customWidth="1" min="12556" max="12556" style="60" width="23"/>
    <col min="12557" max="12801" style="60" width="11.42578125"/>
    <col customWidth="1" min="12802" max="12802" style="60" width="58.42578125"/>
    <col customWidth="1" min="12803" max="12803" style="60" width="4.85546875"/>
    <col min="12804" max="12807" style="60" width="11.42578125"/>
    <col customWidth="1" min="12808" max="12808" style="60" width="19"/>
    <col customWidth="1" min="12809" max="12809" style="60" width="5.7109375"/>
    <col min="12810" max="12811" style="60" width="11.42578125"/>
    <col customWidth="1" min="12812" max="12812" style="60" width="23"/>
    <col min="12813" max="13057" style="60" width="11.42578125"/>
    <col customWidth="1" min="13058" max="13058" style="60" width="58.42578125"/>
    <col customWidth="1" min="13059" max="13059" style="60" width="4.85546875"/>
    <col min="13060" max="13063" style="60" width="11.42578125"/>
    <col customWidth="1" min="13064" max="13064" style="60" width="19"/>
    <col customWidth="1" min="13065" max="13065" style="60" width="5.7109375"/>
    <col min="13066" max="13067" style="60" width="11.42578125"/>
    <col customWidth="1" min="13068" max="13068" style="60" width="23"/>
    <col min="13069" max="13313" style="60" width="11.42578125"/>
    <col customWidth="1" min="13314" max="13314" style="60" width="58.42578125"/>
    <col customWidth="1" min="13315" max="13315" style="60" width="4.85546875"/>
    <col min="13316" max="13319" style="60" width="11.42578125"/>
    <col customWidth="1" min="13320" max="13320" style="60" width="19"/>
    <col customWidth="1" min="13321" max="13321" style="60" width="5.7109375"/>
    <col min="13322" max="13323" style="60" width="11.42578125"/>
    <col customWidth="1" min="13324" max="13324" style="60" width="23"/>
    <col min="13325" max="13569" style="60" width="11.42578125"/>
    <col customWidth="1" min="13570" max="13570" style="60" width="58.42578125"/>
    <col customWidth="1" min="13571" max="13571" style="60" width="4.85546875"/>
    <col min="13572" max="13575" style="60" width="11.42578125"/>
    <col customWidth="1" min="13576" max="13576" style="60" width="19"/>
    <col customWidth="1" min="13577" max="13577" style="60" width="5.7109375"/>
    <col min="13578" max="13579" style="60" width="11.42578125"/>
    <col customWidth="1" min="13580" max="13580" style="60" width="23"/>
    <col min="13581" max="13825" style="60" width="11.42578125"/>
    <col customWidth="1" min="13826" max="13826" style="60" width="58.42578125"/>
    <col customWidth="1" min="13827" max="13827" style="60" width="4.85546875"/>
    <col min="13828" max="13831" style="60" width="11.42578125"/>
    <col customWidth="1" min="13832" max="13832" style="60" width="19"/>
    <col customWidth="1" min="13833" max="13833" style="60" width="5.7109375"/>
    <col min="13834" max="13835" style="60" width="11.42578125"/>
    <col customWidth="1" min="13836" max="13836" style="60" width="23"/>
    <col min="13837" max="14081" style="60" width="11.42578125"/>
    <col customWidth="1" min="14082" max="14082" style="60" width="58.42578125"/>
    <col customWidth="1" min="14083" max="14083" style="60" width="4.85546875"/>
    <col min="14084" max="14087" style="60" width="11.42578125"/>
    <col customWidth="1" min="14088" max="14088" style="60" width="19"/>
    <col customWidth="1" min="14089" max="14089" style="60" width="5.7109375"/>
    <col min="14090" max="14091" style="60" width="11.42578125"/>
    <col customWidth="1" min="14092" max="14092" style="60" width="23"/>
    <col min="14093" max="14337" style="60" width="11.42578125"/>
    <col customWidth="1" min="14338" max="14338" style="60" width="58.42578125"/>
    <col customWidth="1" min="14339" max="14339" style="60" width="4.85546875"/>
    <col min="14340" max="14343" style="60" width="11.42578125"/>
    <col customWidth="1" min="14344" max="14344" style="60" width="19"/>
    <col customWidth="1" min="14345" max="14345" style="60" width="5.7109375"/>
    <col min="14346" max="14347" style="60" width="11.42578125"/>
    <col customWidth="1" min="14348" max="14348" style="60" width="23"/>
    <col min="14349" max="14593" style="60" width="11.42578125"/>
    <col customWidth="1" min="14594" max="14594" style="60" width="58.42578125"/>
    <col customWidth="1" min="14595" max="14595" style="60" width="4.85546875"/>
    <col min="14596" max="14599" style="60" width="11.42578125"/>
    <col customWidth="1" min="14600" max="14600" style="60" width="19"/>
    <col customWidth="1" min="14601" max="14601" style="60" width="5.7109375"/>
    <col min="14602" max="14603" style="60" width="11.42578125"/>
    <col customWidth="1" min="14604" max="14604" style="60" width="23"/>
    <col min="14605" max="14849" style="60" width="11.42578125"/>
    <col customWidth="1" min="14850" max="14850" style="60" width="58.42578125"/>
    <col customWidth="1" min="14851" max="14851" style="60" width="4.85546875"/>
    <col min="14852" max="14855" style="60" width="11.42578125"/>
    <col customWidth="1" min="14856" max="14856" style="60" width="19"/>
    <col customWidth="1" min="14857" max="14857" style="60" width="5.7109375"/>
    <col min="14858" max="14859" style="60" width="11.42578125"/>
    <col customWidth="1" min="14860" max="14860" style="60" width="23"/>
    <col min="14861" max="15105" style="60" width="11.42578125"/>
    <col customWidth="1" min="15106" max="15106" style="60" width="58.42578125"/>
    <col customWidth="1" min="15107" max="15107" style="60" width="4.85546875"/>
    <col min="15108" max="15111" style="60" width="11.42578125"/>
    <col customWidth="1" min="15112" max="15112" style="60" width="19"/>
    <col customWidth="1" min="15113" max="15113" style="60" width="5.7109375"/>
    <col min="15114" max="15115" style="60" width="11.42578125"/>
    <col customWidth="1" min="15116" max="15116" style="60" width="23"/>
    <col min="15117" max="15361" style="60" width="11.42578125"/>
    <col customWidth="1" min="15362" max="15362" style="60" width="58.42578125"/>
    <col customWidth="1" min="15363" max="15363" style="60" width="4.85546875"/>
    <col min="15364" max="15367" style="60" width="11.42578125"/>
    <col customWidth="1" min="15368" max="15368" style="60" width="19"/>
    <col customWidth="1" min="15369" max="15369" style="60" width="5.7109375"/>
    <col min="15370" max="15371" style="60" width="11.42578125"/>
    <col customWidth="1" min="15372" max="15372" style="60" width="23"/>
    <col min="15373" max="15617" style="60" width="11.42578125"/>
    <col customWidth="1" min="15618" max="15618" style="60" width="58.42578125"/>
    <col customWidth="1" min="15619" max="15619" style="60" width="4.85546875"/>
    <col min="15620" max="15623" style="60" width="11.42578125"/>
    <col customWidth="1" min="15624" max="15624" style="60" width="19"/>
    <col customWidth="1" min="15625" max="15625" style="60" width="5.7109375"/>
    <col min="15626" max="15627" style="60" width="11.42578125"/>
    <col customWidth="1" min="15628" max="15628" style="60" width="23"/>
    <col min="15629" max="15873" style="60" width="11.42578125"/>
    <col customWidth="1" min="15874" max="15874" style="60" width="58.42578125"/>
    <col customWidth="1" min="15875" max="15875" style="60" width="4.85546875"/>
    <col min="15876" max="15879" style="60" width="11.42578125"/>
    <col customWidth="1" min="15880" max="15880" style="60" width="19"/>
    <col customWidth="1" min="15881" max="15881" style="60" width="5.7109375"/>
    <col min="15882" max="15883" style="60" width="11.42578125"/>
    <col customWidth="1" min="15884" max="15884" style="60" width="23"/>
    <col min="15885" max="16129" style="60" width="11.42578125"/>
    <col customWidth="1" min="16130" max="16130" style="60" width="58.42578125"/>
    <col customWidth="1" min="16131" max="16131" style="60" width="4.85546875"/>
    <col min="16132" max="16135" style="60" width="11.42578125"/>
    <col customWidth="1" min="16136" max="16136" style="60" width="19"/>
    <col customWidth="1" min="16137" max="16137" style="60" width="5.7109375"/>
    <col min="16138" max="16139" style="60" width="11.42578125"/>
    <col customWidth="1" min="16140" max="16140" style="60" width="23"/>
    <col min="16141" max="16384" style="60" width="11.42578125"/>
  </cols>
  <sheetData>
    <row r="1" ht="240.75" customHeight="1"/>
    <row r="2" ht="23.25" customHeight="1">
      <c r="B2" s="61" t="s">
        <v>183</v>
      </c>
      <c r="C2" s="62"/>
      <c r="D2" s="61" t="s">
        <v>183</v>
      </c>
      <c r="E2" s="61"/>
      <c r="F2" s="61"/>
      <c r="G2" s="61"/>
      <c r="H2" s="61"/>
      <c r="I2" s="62"/>
      <c r="J2" s="61" t="s">
        <v>183</v>
      </c>
      <c r="K2" s="61"/>
      <c r="L2" s="61"/>
    </row>
    <row r="3" ht="23.25" customHeight="1">
      <c r="B3" s="63" t="s">
        <v>112</v>
      </c>
      <c r="D3" s="64" t="s">
        <v>131</v>
      </c>
      <c r="E3" s="64"/>
      <c r="F3" s="64"/>
      <c r="G3" s="64"/>
      <c r="H3" s="64"/>
      <c r="J3" s="65" t="s">
        <v>138</v>
      </c>
      <c r="K3" s="65"/>
      <c r="L3" s="65"/>
    </row>
    <row r="4" ht="23.25" customHeight="1">
      <c r="B4" s="63" t="s">
        <v>116</v>
      </c>
      <c r="D4" s="64" t="s">
        <v>184</v>
      </c>
      <c r="E4" s="64"/>
      <c r="F4" s="64"/>
      <c r="G4" s="64"/>
      <c r="H4" s="64"/>
      <c r="J4" s="65" t="s">
        <v>139</v>
      </c>
      <c r="K4" s="65"/>
      <c r="L4" s="65"/>
    </row>
    <row r="5" ht="23.25" customHeight="1">
      <c r="B5" s="63" t="s">
        <v>118</v>
      </c>
      <c r="D5" s="64" t="s">
        <v>185</v>
      </c>
      <c r="E5" s="64"/>
      <c r="F5" s="64"/>
      <c r="G5" s="64"/>
      <c r="H5" s="64"/>
      <c r="J5" s="65" t="s">
        <v>143</v>
      </c>
      <c r="K5" s="65"/>
      <c r="L5" s="65"/>
    </row>
    <row r="6" ht="23.25" customHeight="1">
      <c r="D6" s="64" t="s">
        <v>134</v>
      </c>
      <c r="E6" s="64"/>
      <c r="F6" s="64"/>
      <c r="G6" s="64"/>
      <c r="H6" s="64"/>
      <c r="K6" s="62"/>
    </row>
    <row r="7" ht="23.25" customHeight="1">
      <c r="B7" s="61" t="s">
        <v>183</v>
      </c>
      <c r="D7" s="64" t="s">
        <v>124</v>
      </c>
      <c r="E7" s="64"/>
      <c r="F7" s="64"/>
      <c r="G7" s="64"/>
      <c r="H7" s="64"/>
      <c r="J7" s="61" t="s">
        <v>183</v>
      </c>
      <c r="K7" s="61"/>
      <c r="L7" s="61"/>
    </row>
    <row r="8" ht="23.25" customHeight="1">
      <c r="B8" s="66" t="s">
        <v>186</v>
      </c>
      <c r="J8" s="67" t="s">
        <v>177</v>
      </c>
      <c r="K8" s="67"/>
      <c r="L8" s="67"/>
    </row>
    <row r="9" ht="23.25" customHeight="1">
      <c r="B9" s="66" t="s">
        <v>173</v>
      </c>
      <c r="D9" s="61" t="s">
        <v>183</v>
      </c>
      <c r="E9" s="61"/>
      <c r="F9" s="61"/>
      <c r="G9" s="61"/>
      <c r="H9" s="61"/>
      <c r="J9" s="67" t="s">
        <v>178</v>
      </c>
      <c r="K9" s="67"/>
      <c r="L9" s="67"/>
    </row>
    <row r="10" ht="23.25" customHeight="1">
      <c r="B10" s="66" t="s">
        <v>149</v>
      </c>
      <c r="D10" s="68" t="s">
        <v>135</v>
      </c>
      <c r="E10" s="68"/>
      <c r="F10" s="68"/>
      <c r="G10" s="68"/>
      <c r="H10" s="68"/>
      <c r="J10" s="67" t="s">
        <v>158</v>
      </c>
      <c r="K10" s="67"/>
      <c r="L10" s="67"/>
    </row>
    <row r="11" ht="23.25" customHeight="1">
      <c r="B11" s="66" t="s">
        <v>174</v>
      </c>
      <c r="D11" s="68" t="s">
        <v>187</v>
      </c>
      <c r="E11" s="68"/>
      <c r="F11" s="68"/>
      <c r="G11" s="68"/>
      <c r="H11" s="68"/>
      <c r="J11" s="67" t="s">
        <v>181</v>
      </c>
      <c r="K11" s="67"/>
      <c r="L11" s="67"/>
    </row>
    <row r="12" ht="23.25" customHeight="1">
      <c r="B12" s="66" t="s">
        <v>188</v>
      </c>
      <c r="D12" s="68" t="s">
        <v>189</v>
      </c>
      <c r="E12" s="68"/>
      <c r="F12" s="68"/>
      <c r="G12" s="68"/>
      <c r="H12" s="68"/>
      <c r="J12" s="67" t="s">
        <v>182</v>
      </c>
      <c r="K12" s="67"/>
      <c r="L12" s="67"/>
    </row>
    <row r="13" ht="23.25" customHeight="1">
      <c r="B13" s="66" t="s">
        <v>171</v>
      </c>
      <c r="D13" s="68" t="s">
        <v>190</v>
      </c>
      <c r="E13" s="68"/>
      <c r="F13" s="68"/>
      <c r="G13" s="68"/>
      <c r="H13" s="68"/>
    </row>
    <row r="14" ht="23.25" customHeight="1">
      <c r="D14" s="68" t="s">
        <v>191</v>
      </c>
      <c r="E14" s="68"/>
      <c r="F14" s="68"/>
      <c r="G14" s="68"/>
      <c r="H14" s="68"/>
    </row>
    <row r="15" ht="23.25" customHeight="1">
      <c r="D15" s="68" t="s">
        <v>192</v>
      </c>
      <c r="E15" s="68"/>
      <c r="F15" s="68"/>
      <c r="G15" s="68"/>
      <c r="H15" s="68"/>
    </row>
    <row r="16" ht="23.25" customHeight="1">
      <c r="D16" s="68" t="s">
        <v>158</v>
      </c>
      <c r="E16" s="68"/>
      <c r="F16" s="68"/>
      <c r="G16" s="68"/>
      <c r="H16" s="68"/>
    </row>
    <row r="17" ht="23.25" customHeight="1">
      <c r="D17" s="68" t="s">
        <v>164</v>
      </c>
      <c r="E17" s="68"/>
      <c r="F17" s="68"/>
      <c r="G17" s="68"/>
      <c r="H17" s="68"/>
    </row>
    <row r="18" ht="23.25" customHeight="1">
      <c r="D18" s="68" t="s">
        <v>168</v>
      </c>
      <c r="E18" s="68"/>
      <c r="F18" s="68"/>
      <c r="G18" s="68"/>
      <c r="H18" s="68"/>
    </row>
    <row r="19" ht="23.25" customHeight="1"/>
    <row r="20" ht="23.2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</sheetData>
  <sheetProtection password="CB78"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26">
    <mergeCell ref="J8:L8"/>
    <mergeCell ref="D2:H2"/>
    <mergeCell ref="J2:L2"/>
    <mergeCell ref="D3:H3"/>
    <mergeCell ref="J3:L3"/>
    <mergeCell ref="D4:H4"/>
    <mergeCell ref="J4:L4"/>
    <mergeCell ref="D5:H5"/>
    <mergeCell ref="J5:L5"/>
    <mergeCell ref="D6:H6"/>
    <mergeCell ref="D7:H7"/>
    <mergeCell ref="J7:L7"/>
    <mergeCell ref="D9:H9"/>
    <mergeCell ref="J9:L9"/>
    <mergeCell ref="D10:H10"/>
    <mergeCell ref="J10:L10"/>
    <mergeCell ref="D11:H11"/>
    <mergeCell ref="J11:L11"/>
    <mergeCell ref="D17:H17"/>
    <mergeCell ref="D18:H18"/>
    <mergeCell ref="D12:H12"/>
    <mergeCell ref="J12:L12"/>
    <mergeCell ref="D13:H13"/>
    <mergeCell ref="D14:H14"/>
    <mergeCell ref="D15:H15"/>
    <mergeCell ref="D16:H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7" activeCellId="0" sqref="G7"/>
    </sheetView>
  </sheetViews>
  <sheetFormatPr baseColWidth="10" defaultRowHeight="15"/>
  <cols>
    <col customWidth="1" min="1" max="1" style="29" width="52.85546875"/>
    <col customWidth="1" min="2" max="2" style="30" width="55.42578125"/>
    <col customWidth="1" min="3" max="3" style="30" width="50"/>
    <col customWidth="1" min="4" max="6" style="18" width="8"/>
  </cols>
  <sheetData>
    <row r="1" ht="27" customHeight="1">
      <c r="A1" s="33" t="s">
        <v>105</v>
      </c>
    </row>
    <row r="2" ht="27" customHeight="1">
      <c r="A2" s="69" t="s">
        <v>108</v>
      </c>
      <c r="B2" s="70" t="s">
        <v>193</v>
      </c>
      <c r="C2" s="71" t="s">
        <v>194</v>
      </c>
      <c r="D2"/>
      <c r="E2"/>
      <c r="F2"/>
    </row>
    <row r="3" ht="27" customHeight="1">
      <c r="A3" s="72" t="s">
        <v>195</v>
      </c>
      <c r="B3" s="73" t="s">
        <v>196</v>
      </c>
      <c r="C3" s="73" t="s">
        <v>197</v>
      </c>
      <c r="D3"/>
      <c r="E3"/>
      <c r="F3"/>
    </row>
    <row r="4" ht="27" customHeight="1">
      <c r="A4" s="72" t="s">
        <v>198</v>
      </c>
      <c r="B4" s="73" t="s">
        <v>199</v>
      </c>
      <c r="C4" s="73" t="s">
        <v>200</v>
      </c>
      <c r="D4"/>
      <c r="E4"/>
      <c r="F4"/>
    </row>
    <row r="5" ht="27" customHeight="1">
      <c r="A5" s="72" t="s">
        <v>201</v>
      </c>
      <c r="B5" s="73" t="s">
        <v>202</v>
      </c>
      <c r="C5" s="73" t="s">
        <v>203</v>
      </c>
      <c r="D5"/>
      <c r="E5"/>
      <c r="F5"/>
    </row>
    <row r="6" ht="27" customHeight="1">
      <c r="A6" s="69" t="s">
        <v>120</v>
      </c>
      <c r="B6" s="70" t="s">
        <v>193</v>
      </c>
      <c r="C6" s="71" t="s">
        <v>194</v>
      </c>
      <c r="D6"/>
      <c r="E6"/>
      <c r="F6"/>
    </row>
    <row r="7" ht="27" customHeight="1">
      <c r="A7" s="72" t="s">
        <v>204</v>
      </c>
      <c r="B7" s="73" t="s">
        <v>196</v>
      </c>
      <c r="C7" s="73" t="s">
        <v>197</v>
      </c>
      <c r="D7"/>
      <c r="E7"/>
      <c r="F7"/>
    </row>
    <row r="8" ht="27" customHeight="1">
      <c r="A8" s="72" t="s">
        <v>205</v>
      </c>
      <c r="B8" s="73" t="s">
        <v>199</v>
      </c>
      <c r="C8" s="73" t="s">
        <v>206</v>
      </c>
      <c r="D8"/>
      <c r="E8"/>
      <c r="F8"/>
    </row>
    <row r="9" ht="27" customHeight="1">
      <c r="A9" s="72" t="s">
        <v>207</v>
      </c>
      <c r="B9" s="73" t="s">
        <v>208</v>
      </c>
      <c r="C9" s="73" t="s">
        <v>203</v>
      </c>
      <c r="D9"/>
      <c r="E9"/>
      <c r="F9"/>
    </row>
    <row r="10" ht="27" customHeight="1">
      <c r="A10" s="72" t="s">
        <v>209</v>
      </c>
      <c r="B10" s="73" t="s">
        <v>210</v>
      </c>
      <c r="C10" s="73" t="s">
        <v>211</v>
      </c>
      <c r="D10"/>
      <c r="E10"/>
      <c r="F10"/>
    </row>
    <row r="11" ht="27" customHeight="1">
      <c r="A11" s="72" t="s">
        <v>212</v>
      </c>
      <c r="B11" s="73" t="s">
        <v>213</v>
      </c>
      <c r="C11" s="73" t="s">
        <v>214</v>
      </c>
      <c r="D11"/>
      <c r="E11"/>
      <c r="F11"/>
    </row>
    <row r="12" ht="27" customHeight="1">
      <c r="A12" s="74" t="s">
        <v>131</v>
      </c>
      <c r="B12" s="73" t="s">
        <v>215</v>
      </c>
      <c r="C12" s="73" t="s">
        <v>216</v>
      </c>
      <c r="D12"/>
      <c r="E12"/>
      <c r="F12"/>
    </row>
    <row r="13" ht="27" customHeight="1">
      <c r="A13" s="75" t="s">
        <v>132</v>
      </c>
      <c r="B13" s="73" t="s">
        <v>217</v>
      </c>
      <c r="C13" s="73" t="s">
        <v>218</v>
      </c>
      <c r="D13"/>
      <c r="E13"/>
      <c r="F13"/>
    </row>
    <row r="14" ht="27" customHeight="1">
      <c r="A14" s="74" t="s">
        <v>133</v>
      </c>
      <c r="B14" s="73" t="s">
        <v>215</v>
      </c>
      <c r="C14" s="73" t="s">
        <v>219</v>
      </c>
      <c r="D14"/>
      <c r="E14"/>
      <c r="F14"/>
    </row>
    <row r="15" ht="27" customHeight="1">
      <c r="A15" s="74" t="s">
        <v>135</v>
      </c>
      <c r="B15" s="73" t="s">
        <v>213</v>
      </c>
      <c r="C15" s="73" t="s">
        <v>220</v>
      </c>
      <c r="D15"/>
      <c r="E15"/>
      <c r="F15"/>
    </row>
    <row r="16" ht="27" customHeight="1">
      <c r="A16" s="69" t="s">
        <v>137</v>
      </c>
      <c r="B16" s="70" t="s">
        <v>193</v>
      </c>
      <c r="C16" s="71" t="s">
        <v>194</v>
      </c>
      <c r="D16"/>
      <c r="E16"/>
      <c r="F16"/>
    </row>
    <row r="17" ht="27" customHeight="1">
      <c r="A17" s="73" t="s">
        <v>138</v>
      </c>
      <c r="B17" s="73" t="s">
        <v>221</v>
      </c>
      <c r="C17" s="73" t="s">
        <v>222</v>
      </c>
      <c r="D17"/>
      <c r="E17"/>
      <c r="F17"/>
    </row>
    <row r="18" ht="27" customHeight="1">
      <c r="A18" s="73" t="s">
        <v>139</v>
      </c>
      <c r="B18" s="73" t="s">
        <v>223</v>
      </c>
      <c r="C18" s="73" t="s">
        <v>224</v>
      </c>
      <c r="D18"/>
      <c r="E18"/>
      <c r="F18"/>
    </row>
    <row r="19" ht="27" customHeight="1">
      <c r="A19" s="73" t="s">
        <v>143</v>
      </c>
      <c r="B19" s="73" t="s">
        <v>223</v>
      </c>
      <c r="C19" s="73" t="s">
        <v>225</v>
      </c>
      <c r="D19"/>
      <c r="E19"/>
      <c r="F19"/>
    </row>
    <row r="20" ht="27" customHeight="1">
      <c r="A20" s="73" t="s">
        <v>226</v>
      </c>
      <c r="B20" s="73" t="s">
        <v>227</v>
      </c>
      <c r="C20" s="73" t="s">
        <v>228</v>
      </c>
      <c r="D20"/>
      <c r="E20"/>
      <c r="F20"/>
    </row>
    <row r="21" ht="42" customHeight="1">
      <c r="A21" s="73" t="s">
        <v>145</v>
      </c>
      <c r="B21" s="73" t="s">
        <v>223</v>
      </c>
      <c r="C21" s="73" t="s">
        <v>229</v>
      </c>
      <c r="D21"/>
      <c r="E21"/>
      <c r="F21"/>
    </row>
    <row r="22" ht="27" customHeight="1">
      <c r="A22" s="73" t="s">
        <v>230</v>
      </c>
      <c r="B22" s="73" t="s">
        <v>231</v>
      </c>
      <c r="C22" s="73" t="s">
        <v>232</v>
      </c>
      <c r="D22"/>
      <c r="E22"/>
      <c r="F22"/>
    </row>
    <row r="23" ht="27" customHeight="1">
      <c r="A23" s="73" t="s">
        <v>233</v>
      </c>
      <c r="B23" s="73" t="s">
        <v>234</v>
      </c>
      <c r="C23" s="73" t="s">
        <v>235</v>
      </c>
      <c r="D23"/>
      <c r="E23"/>
      <c r="F23"/>
    </row>
    <row r="24" ht="27" customHeight="1">
      <c r="A24" s="73" t="s">
        <v>150</v>
      </c>
      <c r="B24" s="73"/>
      <c r="C24" s="73"/>
      <c r="D24"/>
      <c r="E24"/>
      <c r="F24"/>
    </row>
    <row r="25" ht="27" customHeight="1">
      <c r="A25" s="73" t="s">
        <v>151</v>
      </c>
      <c r="B25" s="73"/>
      <c r="C25" s="73"/>
      <c r="D25"/>
      <c r="E25"/>
      <c r="F25"/>
    </row>
    <row r="26" ht="27" customHeight="1">
      <c r="A26" s="73" t="s">
        <v>152</v>
      </c>
      <c r="B26" s="73"/>
      <c r="C26" s="73"/>
      <c r="D26"/>
      <c r="E26"/>
      <c r="F26"/>
    </row>
    <row r="27" ht="27" customHeight="1">
      <c r="A27" s="73" t="s">
        <v>153</v>
      </c>
      <c r="B27" s="73"/>
      <c r="C27" s="73"/>
      <c r="D27"/>
      <c r="E27"/>
      <c r="F27"/>
    </row>
    <row r="28" ht="27" customHeight="1">
      <c r="A28" s="73" t="s">
        <v>236</v>
      </c>
      <c r="B28" s="73" t="s">
        <v>237</v>
      </c>
      <c r="C28" s="73" t="s">
        <v>238</v>
      </c>
      <c r="D28"/>
      <c r="E28"/>
      <c r="F28"/>
    </row>
    <row r="29" ht="27" customHeight="1">
      <c r="A29" s="73" t="s">
        <v>155</v>
      </c>
      <c r="B29" s="73" t="s">
        <v>239</v>
      </c>
      <c r="C29" s="73" t="s">
        <v>240</v>
      </c>
      <c r="D29"/>
      <c r="E29"/>
      <c r="F29"/>
    </row>
    <row r="30" ht="27" customHeight="1">
      <c r="A30" s="73" t="s">
        <v>156</v>
      </c>
      <c r="B30" s="73"/>
      <c r="C30" s="73"/>
      <c r="D30"/>
      <c r="E30"/>
      <c r="F30"/>
    </row>
    <row r="31" ht="27" customHeight="1">
      <c r="A31" s="73" t="s">
        <v>157</v>
      </c>
      <c r="B31" s="73" t="s">
        <v>239</v>
      </c>
      <c r="C31" s="73" t="s">
        <v>241</v>
      </c>
      <c r="D31"/>
      <c r="E31"/>
      <c r="F31"/>
    </row>
    <row r="32" ht="27" customHeight="1">
      <c r="A32" s="73" t="s">
        <v>242</v>
      </c>
      <c r="B32" s="73" t="s">
        <v>239</v>
      </c>
      <c r="C32" s="73" t="s">
        <v>243</v>
      </c>
      <c r="D32"/>
      <c r="E32"/>
      <c r="F32"/>
    </row>
    <row r="33" ht="27" customHeight="1">
      <c r="A33" s="76" t="s">
        <v>159</v>
      </c>
      <c r="B33" s="70" t="s">
        <v>193</v>
      </c>
      <c r="C33" s="71" t="s">
        <v>194</v>
      </c>
      <c r="D33"/>
      <c r="E33"/>
      <c r="F33"/>
    </row>
    <row r="34" ht="27" customHeight="1">
      <c r="A34" s="73" t="s">
        <v>160</v>
      </c>
      <c r="B34" s="73" t="s">
        <v>223</v>
      </c>
      <c r="C34" s="73" t="s">
        <v>244</v>
      </c>
      <c r="D34"/>
      <c r="E34"/>
      <c r="F34"/>
    </row>
    <row r="35" ht="27" customHeight="1">
      <c r="A35" s="73" t="s">
        <v>162</v>
      </c>
      <c r="B35" s="73" t="s">
        <v>245</v>
      </c>
      <c r="C35" s="73" t="s">
        <v>246</v>
      </c>
      <c r="D35"/>
      <c r="E35"/>
      <c r="F35"/>
    </row>
    <row r="36" ht="27" customHeight="1">
      <c r="A36" s="73" t="s">
        <v>164</v>
      </c>
      <c r="B36" s="73"/>
      <c r="C36" s="73"/>
      <c r="D36"/>
      <c r="E36"/>
      <c r="F36"/>
    </row>
    <row r="37" ht="27" customHeight="1">
      <c r="A37" s="73" t="s">
        <v>247</v>
      </c>
      <c r="B37" s="73" t="s">
        <v>239</v>
      </c>
      <c r="C37" s="73" t="s">
        <v>248</v>
      </c>
      <c r="D37"/>
      <c r="E37"/>
      <c r="F37"/>
    </row>
    <row r="38" ht="40.5" customHeight="1">
      <c r="A38" s="73" t="s">
        <v>249</v>
      </c>
      <c r="B38" s="77" t="s">
        <v>223</v>
      </c>
      <c r="C38" s="73" t="s">
        <v>250</v>
      </c>
      <c r="D38"/>
      <c r="E38"/>
      <c r="F38"/>
    </row>
    <row r="39" ht="27" customHeight="1">
      <c r="A39" s="73" t="s">
        <v>166</v>
      </c>
      <c r="B39" s="73"/>
      <c r="C39" s="73"/>
      <c r="D39"/>
      <c r="E39"/>
      <c r="F39"/>
    </row>
    <row r="40" ht="27" customHeight="1">
      <c r="A40" s="73" t="s">
        <v>167</v>
      </c>
      <c r="B40" s="73"/>
      <c r="C40" s="73"/>
      <c r="D40"/>
      <c r="E40"/>
      <c r="F40"/>
    </row>
    <row r="41" ht="27" customHeight="1">
      <c r="A41" s="73" t="s">
        <v>168</v>
      </c>
      <c r="B41" s="73"/>
      <c r="C41" s="73"/>
      <c r="D41"/>
      <c r="E41"/>
      <c r="F41"/>
    </row>
    <row r="42" ht="27" customHeight="1">
      <c r="A42" s="73" t="s">
        <v>169</v>
      </c>
      <c r="B42" s="73" t="s">
        <v>251</v>
      </c>
      <c r="C42" s="73" t="s">
        <v>252</v>
      </c>
      <c r="D42"/>
      <c r="E42"/>
      <c r="F42"/>
    </row>
    <row r="43" ht="27" customHeight="1">
      <c r="A43" s="73" t="s">
        <v>170</v>
      </c>
      <c r="B43" s="73" t="s">
        <v>253</v>
      </c>
      <c r="C43" s="73" t="s">
        <v>254</v>
      </c>
      <c r="D43"/>
      <c r="E43"/>
      <c r="F43"/>
    </row>
    <row r="44" ht="27" customHeight="1">
      <c r="A44" s="73" t="s">
        <v>171</v>
      </c>
      <c r="B44" s="73" t="s">
        <v>255</v>
      </c>
      <c r="C44" s="73" t="s">
        <v>256</v>
      </c>
      <c r="D44"/>
      <c r="E44"/>
      <c r="F44"/>
    </row>
    <row r="45" ht="27" customHeight="1">
      <c r="A45" s="73" t="s">
        <v>172</v>
      </c>
      <c r="B45" s="73"/>
      <c r="C45" s="73"/>
      <c r="D45"/>
      <c r="E45"/>
      <c r="F45"/>
    </row>
    <row r="46" ht="27" customHeight="1">
      <c r="A46" s="73" t="s">
        <v>173</v>
      </c>
      <c r="B46" s="73"/>
      <c r="C46" s="73"/>
      <c r="D46"/>
      <c r="E46"/>
      <c r="F46"/>
    </row>
    <row r="47" ht="27" customHeight="1">
      <c r="A47" s="73" t="s">
        <v>174</v>
      </c>
      <c r="B47" s="73"/>
      <c r="C47" s="73"/>
      <c r="D47"/>
      <c r="E47"/>
      <c r="F47"/>
    </row>
    <row r="48" ht="27" customHeight="1">
      <c r="A48" s="73" t="s">
        <v>152</v>
      </c>
      <c r="B48" s="73" t="s">
        <v>239</v>
      </c>
      <c r="C48" s="73" t="s">
        <v>257</v>
      </c>
      <c r="D48"/>
      <c r="E48"/>
      <c r="F48"/>
    </row>
    <row r="49" ht="27" customHeight="1">
      <c r="A49" s="73" t="s">
        <v>175</v>
      </c>
      <c r="B49" s="73" t="s">
        <v>255</v>
      </c>
      <c r="C49" s="73" t="s">
        <v>256</v>
      </c>
      <c r="D49"/>
      <c r="E49"/>
      <c r="F49"/>
    </row>
    <row r="50" ht="27" customHeight="1">
      <c r="A50" s="73" t="s">
        <v>176</v>
      </c>
      <c r="B50" s="73"/>
      <c r="C50" s="73"/>
      <c r="D50"/>
      <c r="E50"/>
      <c r="F50"/>
    </row>
    <row r="51" ht="27" customHeight="1">
      <c r="A51" s="73" t="s">
        <v>177</v>
      </c>
      <c r="B51" s="73" t="s">
        <v>258</v>
      </c>
      <c r="C51" s="73" t="s">
        <v>259</v>
      </c>
      <c r="D51"/>
      <c r="E51"/>
      <c r="F51"/>
    </row>
    <row r="52" ht="27" customHeight="1">
      <c r="A52" s="73" t="s">
        <v>178</v>
      </c>
      <c r="B52" s="73" t="s">
        <v>260</v>
      </c>
      <c r="C52" s="73" t="s">
        <v>261</v>
      </c>
      <c r="D52"/>
      <c r="E52"/>
      <c r="F52"/>
    </row>
    <row r="53" ht="46.5" customHeight="1">
      <c r="A53" s="73" t="s">
        <v>262</v>
      </c>
      <c r="B53" s="77" t="s">
        <v>258</v>
      </c>
      <c r="C53" s="73" t="s">
        <v>263</v>
      </c>
      <c r="D53"/>
      <c r="E53"/>
      <c r="F53"/>
    </row>
    <row r="54" ht="27" customHeight="1">
      <c r="A54" s="73" t="s">
        <v>180</v>
      </c>
      <c r="B54" s="73"/>
      <c r="C54" s="73"/>
      <c r="D54"/>
      <c r="E54"/>
      <c r="F54"/>
    </row>
    <row r="55" ht="27" customHeight="1">
      <c r="A55" s="73" t="s">
        <v>158</v>
      </c>
      <c r="B55" s="73"/>
      <c r="C55" s="73"/>
      <c r="D55"/>
      <c r="E55"/>
      <c r="F55"/>
    </row>
    <row r="56" ht="27" customHeight="1">
      <c r="A56" s="73" t="s">
        <v>181</v>
      </c>
      <c r="B56" s="73"/>
      <c r="C56" s="73"/>
      <c r="D56"/>
      <c r="E56"/>
      <c r="F56"/>
    </row>
    <row r="57" ht="27" customHeight="1">
      <c r="A57" s="73" t="s">
        <v>182</v>
      </c>
      <c r="B57" s="73" t="s">
        <v>223</v>
      </c>
      <c r="C57" s="73" t="s">
        <v>264</v>
      </c>
      <c r="D57"/>
      <c r="E57"/>
      <c r="F5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D8" activeCellId="0" sqref="D8"/>
    </sheetView>
  </sheetViews>
  <sheetFormatPr baseColWidth="10" defaultRowHeight="15"/>
  <cols>
    <col customWidth="1" min="1" max="1" width="23.5703125"/>
    <col customWidth="1" min="2" max="2" width="111.28515625"/>
  </cols>
  <sheetData>
    <row r="1" ht="27" customHeight="1">
      <c r="A1" s="78" t="s">
        <v>265</v>
      </c>
      <c r="B1" s="78" t="s">
        <v>266</v>
      </c>
    </row>
    <row r="2" ht="27" customHeight="1">
      <c r="A2" s="1" t="s">
        <v>267</v>
      </c>
      <c r="B2" s="79" t="s">
        <v>268</v>
      </c>
    </row>
    <row r="3" ht="27" customHeight="1">
      <c r="A3" s="1"/>
      <c r="B3" s="79" t="s">
        <v>269</v>
      </c>
    </row>
    <row r="4" ht="27" customHeight="1">
      <c r="A4" s="1"/>
      <c r="B4" s="79" t="s">
        <v>270</v>
      </c>
    </row>
    <row r="5" ht="27" customHeight="1">
      <c r="A5" s="1"/>
      <c r="B5" s="79" t="s">
        <v>271</v>
      </c>
    </row>
    <row r="6" ht="27" customHeight="1">
      <c r="A6" s="1"/>
      <c r="B6" s="79" t="s">
        <v>272</v>
      </c>
    </row>
    <row r="7" ht="27" customHeight="1">
      <c r="A7" s="1"/>
      <c r="B7" s="79" t="s">
        <v>273</v>
      </c>
    </row>
    <row r="8" ht="27" customHeight="1">
      <c r="A8" s="1" t="s">
        <v>274</v>
      </c>
      <c r="B8" s="79" t="s">
        <v>275</v>
      </c>
    </row>
    <row r="9" ht="96.75" customHeight="1">
      <c r="A9" s="1"/>
      <c r="B9" s="79" t="s">
        <v>276</v>
      </c>
    </row>
    <row r="10" ht="27" customHeight="1">
      <c r="A10" s="1"/>
      <c r="B10" s="79" t="s">
        <v>277</v>
      </c>
    </row>
    <row r="11" ht="27" customHeight="1">
      <c r="A11" s="1"/>
      <c r="B11" s="79" t="s">
        <v>278</v>
      </c>
    </row>
    <row r="12" ht="27" customHeight="1">
      <c r="A12" s="1"/>
      <c r="B12" s="79" t="s">
        <v>279</v>
      </c>
    </row>
    <row r="13" ht="27" customHeight="1">
      <c r="A13" s="1"/>
      <c r="B13" s="79" t="s">
        <v>280</v>
      </c>
    </row>
    <row r="14" ht="50.25" customHeight="1">
      <c r="A14" s="1" t="s">
        <v>281</v>
      </c>
      <c r="B14" s="79" t="s">
        <v>282</v>
      </c>
    </row>
    <row r="15" ht="27" customHeight="1">
      <c r="A15" s="1"/>
      <c r="B15" s="79" t="s">
        <v>283</v>
      </c>
    </row>
    <row r="16" ht="27" customHeight="1">
      <c r="A16" s="1"/>
      <c r="B16" s="79" t="s">
        <v>284</v>
      </c>
    </row>
    <row r="17" ht="27" customHeight="1">
      <c r="A17" s="1"/>
      <c r="B17" s="79" t="s">
        <v>285</v>
      </c>
    </row>
    <row r="18" ht="27" customHeight="1">
      <c r="A18" s="1"/>
      <c r="B18" s="79" t="s">
        <v>286</v>
      </c>
    </row>
    <row r="19" ht="27" customHeight="1">
      <c r="A19" s="1"/>
      <c r="B19" s="79" t="s">
        <v>287</v>
      </c>
    </row>
    <row r="20" ht="27" customHeight="1">
      <c r="A20" s="1"/>
      <c r="B20" s="79" t="s">
        <v>288</v>
      </c>
    </row>
    <row r="21" ht="27" customHeight="1">
      <c r="A21" s="1"/>
      <c r="B21" s="79" t="s">
        <v>289</v>
      </c>
    </row>
    <row r="22" ht="53.25" customHeight="1">
      <c r="A22" s="1" t="s">
        <v>290</v>
      </c>
      <c r="B22" s="79" t="s">
        <v>291</v>
      </c>
    </row>
    <row r="23" ht="27" customHeight="1">
      <c r="A23" s="1"/>
      <c r="B23" s="79" t="s">
        <v>292</v>
      </c>
    </row>
    <row r="24" ht="27" customHeight="1">
      <c r="A24" s="1"/>
      <c r="B24" s="79" t="s">
        <v>293</v>
      </c>
    </row>
    <row r="25" ht="27" customHeight="1">
      <c r="A25" s="1"/>
      <c r="B25" s="79" t="s">
        <v>294</v>
      </c>
    </row>
    <row r="26" ht="27" customHeight="1">
      <c r="A26" s="1" t="s">
        <v>295</v>
      </c>
      <c r="B26" s="79" t="s">
        <v>296</v>
      </c>
    </row>
    <row r="27" ht="27" customHeight="1">
      <c r="A27" s="1"/>
      <c r="B27" s="79" t="s">
        <v>297</v>
      </c>
    </row>
    <row r="28" ht="27" customHeight="1">
      <c r="A28" s="1"/>
      <c r="B28" s="79" t="s">
        <v>298</v>
      </c>
    </row>
    <row r="29" ht="27" customHeight="1">
      <c r="A29" s="1"/>
      <c r="B29" s="79" t="s">
        <v>299</v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</sheetData>
  <mergeCells count="5">
    <mergeCell ref="A26:A29"/>
    <mergeCell ref="A2:A7"/>
    <mergeCell ref="A8:A13"/>
    <mergeCell ref="A14:A21"/>
    <mergeCell ref="A22:A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Fernandez</dc:creator>
  <cp:revision>1</cp:revision>
  <dcterms:created xsi:type="dcterms:W3CDTF">2020-07-26T11:02:53Z</dcterms:created>
  <dcterms:modified xsi:type="dcterms:W3CDTF">2026-02-21T15:00:38Z</dcterms:modified>
</cp:coreProperties>
</file>